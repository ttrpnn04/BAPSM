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30228"/>
  <x: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BAST.AP\1.BEST-AP\1.BEST-AP\3.บิลขายAA\ปี=2569\บิลขาย=0869\บิลขาย=040869\"/>
    </mc:Choice>
  </mc:AlternateContent>
  <xr:revisionPtr revIDLastSave="0" documentId="13_ncr:1_{585AB6C2-47EF-40B7-A509-0347338D35A3}" xr6:coauthVersionLast="47" xr6:coauthVersionMax="47" xr10:uidLastSave="{00000000-0000-0000-0000-000000000000}"/>
  <x:bookViews>
    <x:workbookView xWindow="-110" yWindow="-110" windowWidth="19420" windowHeight="10300" tabRatio="864" firstSheet="0" activeTab="0" xr2:uid="{00000000-000D-0000-FFFF-FFFF00000000}"/>
  </x:bookViews>
  <x:sheets>
    <x:sheet name="Bill" sheetId="19" r:id="rId2"/>
  </x:sheets>
  <x:externalReferences>
    <x:externalReference r:id="rId34"/>
    <x:externalReference r:id="rId35"/>
    <x:externalReference r:id="rId36"/>
    <x:externalReference r:id="rId37"/>
  </x:externalReferences>
  <x:definedNames>
    <x:definedName name="_xlnm.Print_Area" localSheetId="0">Bill!$A$1:$L$38</x:definedName>
    <x:definedName name="__A100000" localSheetId="0">[1]List!#REF!</x:definedName>
    <x:definedName name="__A116613" localSheetId="0">[1]List!#REF!</x:definedName>
    <x:definedName name="__A100000">[1]List!#REF!</x:definedName>
    <x:definedName name="__A116613">[1]List!#REF!</x:definedName>
    <x:definedName name="_A100000">[2]List!#REF!</x:definedName>
    <x:definedName name="_A116613">[2]List!#REF!</x:definedName>
    <x:definedName name="table">'[3]89 ที่อยู่เบอร์โทร์ 300908'!$B$34:$G$654</x:definedName>
    <x:definedName name="xxx">[4]List!#REF!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I9" i="19"/>
  <x:c r="F25" i="19"/>
  <x:c r="I30" i="19"/>
  <x:c r="I31" i="19"/>
  <x:c r="I32" i="19"/>
</x:calcChain>
</file>

<file path=xl/sharedStrings.xml><?xml version="1.0" encoding="utf-8"?>
<x:sst xmlns:x="http://schemas.openxmlformats.org/spreadsheetml/2006/main">
  <x:si>
    <x:t>หมายเหตุ</x:t>
  </x:si>
  <x:si>
    <x:t>ใบส่งสินค้า/ใบแจ้งหนี้</x:t>
  </x:si>
  <x:si>
    <x:t>ลูกค้า :</x:t>
  </x:si>
  <x:si>
    <x:t xml:space="preserve">วันที่ </x:t>
  </x:si>
  <x:si>
    <x:t>เลขที่/ NO.</x:t>
  </x:si>
  <x:si>
    <x:t>เขตการขาย</x:t>
  </x:si>
  <x:si>
    <x:t xml:space="preserve">เงื่อนไขการชำระเงิน </x:t>
  </x:si>
  <x:si>
    <x:t>Tel.</x:t>
  </x:si>
  <x:si>
    <x:t xml:space="preserve">ครบกำหนดชำระเงิน :  </x:t>
  </x:si>
  <x:si>
    <x:t>คัน</x:t>
  </x:si>
  <x:si>
    <x:t>ขนส่งโดย</x:t>
  </x:si>
  <x:si>
    <x:t>รหัสสินค้า</x:t>
  </x:si>
  <x:si>
    <x:t>รายการ</x:t>
  </x:si>
  <x:si>
    <x:t>จำนวน</x:t>
  </x:si>
  <x:si>
    <x:t>หน่วย</x:t>
  </x:si>
  <x:si>
    <x:t>ราคาต่อหน่วย</x:t>
  </x:si>
  <x:si>
    <x:t>จำนวนเงิน</x:t>
  </x:si>
  <x:si>
    <x:t xml:space="preserve"> รวม   </x:t>
  </x:si>
  <x:si>
    <x:t>รวมเป็นเงิน</x:t>
  </x:si>
  <x:si>
    <x:r>
      <x:rPr>
        <x:vertAlign val="baseline"/>
        <x:sz val="26"/>
        <x:color rgb="FF000000"/>
        <x:rFont val="AngsanaUPC"/>
        <x:family val="1"/>
      </x:rPr>
      <x:t>กรุณา สั่งจ่ายเช็คในนาม</x:t>
    </x:r>
    <x:r>
      <x:rPr>
        <x:vertAlign val="baseline"/>
        <x:sz val="28"/>
        <x:color rgb="FF000000"/>
        <x:rFont val="AngsanaUPC"/>
        <x:family val="1"/>
      </x:rPr>
      <x:t xml:space="preserve"> '</x:t>
    </x:r>
    <x:r>
      <x:rPr>
        <x:b/>
        <x:vertAlign val="baseline"/>
        <x:sz val="28"/>
        <x:color rgb="FF000000"/>
        <x:rFont val="AngsanaUPC"/>
        <x:family val="1"/>
      </x:rPr>
      <x:t>'สุวเพ็ญ เทียนพรหมทอง</x:t>
    </x:r>
    <x:r>
      <x:rPr>
        <x:vertAlign val="baseline"/>
        <x:sz val="28"/>
        <x:color rgb="FF000000"/>
        <x:rFont val="AngsanaUPC"/>
        <x:family val="1"/>
      </x:rPr>
      <x:t xml:space="preserve">'' </x:t>
    </x:r>
    <x:r>
      <x:rPr>
        <x:vertAlign val="baseline"/>
        <x:sz val="26"/>
        <x:color rgb="FF000000"/>
        <x:rFont val="AngsanaUPC"/>
        <x:family val="1"/>
      </x:rPr>
      <x:t>และขีดผู้ถือ</x:t>
    </x:r>
  </x:si>
  <x:si>
    <x:r>
      <x:rPr>
        <x:vertAlign val="baseline"/>
        <x:sz val="24"/>
        <x:color rgb="FF000000"/>
        <x:rFont val="AngsanaUPC"/>
        <x:family val="1"/>
      </x:rPr>
      <x:t>โอนเงินเข้าบัญชี ธ.กสิกรไทย    สาขา บิ๊กซี  เลขที่</x:t>
    </x:r>
    <x:r>
      <x:rPr>
        <x:vertAlign val="baseline"/>
        <x:sz val="28"/>
        <x:color rgb="FF000000"/>
        <x:rFont val="AngsanaUPC"/>
        <x:family val="1"/>
      </x:rPr>
      <x:t xml:space="preserve"> </x:t>
    </x:r>
    <x:r>
      <x:rPr>
        <x:b/>
        <x:vertAlign val="baseline"/>
        <x:sz val="28"/>
        <x:color rgb="FF000000"/>
        <x:rFont val="AngsanaUPC"/>
        <x:family val="1"/>
      </x:rPr>
      <x:t xml:space="preserve"> 016-8-91115-7</x:t>
    </x:r>
  </x:si>
  <x:si>
    <x:r>
      <x:rPr>
        <x:vertAlign val="baseline"/>
        <x:sz val="24"/>
        <x:color rgb="FF000000"/>
        <x:rFont val="AngsanaUPC"/>
        <x:family val="1"/>
      </x:rPr>
      <x:t xml:space="preserve">โอนเงินเข้าบัญชี ธ.ไทยพาณิชย์ สาขา บิ๊กซี  เลขที่ </x:t>
    </x:r>
    <x:r>
      <x:rPr>
        <x:vertAlign val="baseline"/>
        <x:sz val="28"/>
        <x:color rgb="FF000000"/>
        <x:rFont val="AngsanaUPC"/>
        <x:family val="1"/>
      </x:rPr>
      <x:t xml:space="preserve"> </x:t>
    </x:r>
    <x:r>
      <x:rPr>
        <x:b/>
        <x:vertAlign val="baseline"/>
        <x:sz val="28"/>
        <x:color rgb="FF000000"/>
        <x:rFont val="AngsanaUPC"/>
        <x:family val="1"/>
      </x:rPr>
      <x:t>298-2-05553-9</x:t>
    </x:r>
  </x:si>
  <x:si>
    <x:t>หักส่วนลด</x:t>
  </x:si>
  <x:si>
    <x:t>ยอดรวมทั้งสิ้น</x:t>
  </x:si>
  <x:si>
    <x:t xml:space="preserve"> - ถ้าได้รับสินค้าไม่ครบตามจำนวนข้างต้น กรุณาแจ้งให้ทราบภายใน 7 วัน มิเช่นนั้นจะถือว่าได้รับสินค้าครบตามจำนวนในบิล      </x:t>
  </x:si>
  <x:si>
    <x:t xml:space="preserve"> - สินค้าซื้อแล้วไม่รับเปลี่ยนหรือคืน</x:t>
  </x:si>
  <x:si>
    <x:t>ผู้จัดสินค้า____________________</x:t>
  </x:si>
  <x:si>
    <x:t>___________วันที่______/_____/________</x:t>
  </x:si>
  <x:si>
    <x:t>ผู้ส่งสินค้า________</x:t>
  </x:si>
  <x:si>
    <x:t>___________________วันที่_____/_____/_____</x:t>
  </x:si>
  <x:si>
    <x:t>ผู้รับสินค้า______________</x:t>
  </x:si>
  <x:si>
    <x:t>ผู้อนุมัติ__________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</x:si>
</x:sst>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2">
    <x:numFmt numFmtId="43" formatCode="_-* #,##0.00_-;\-* #,##0.00_-;_-* &quot;-&quot;??_-;_-@_-"/>
    <x:numFmt numFmtId="187" formatCode="_(&quot;$&quot;* #,##0_);_(&quot;$&quot;* \(#,##0\);_(&quot;$&quot;* &quot;-&quot;_);_(@_)"/>
    <x:numFmt numFmtId="188" formatCode="_(&quot;$&quot;* #,##0.00_);_(&quot;$&quot;* \(#,##0.00\);_(&quot;$&quot;* &quot;-&quot;??_);_(@_)"/>
    <x:numFmt numFmtId="189" formatCode="_(* #,##0.00_);_(* \(#,##0.00\);_(* &quot;-&quot;??_);_(@_)"/>
    <x:numFmt numFmtId="190" formatCode="0.0000000%"/>
    <x:numFmt numFmtId="191" formatCode="General_)"/>
    <x:numFmt numFmtId="192" formatCode="0.000"/>
    <x:numFmt numFmtId="193" formatCode="#,##0.0_);\(#,##0.0\)"/>
    <x:numFmt numFmtId="194" formatCode="_ &quot;R&quot;\ * #,##0.00_ ;_ &quot;R&quot;\ * \-#,##0.00_ ;_ &quot;R&quot;\ * &quot;-&quot;??_ ;_ @_ "/>
    <x:numFmt numFmtId="195" formatCode="#,##0.00000000000000"/>
    <x:numFmt numFmtId="196" formatCode="0.00000000%"/>
    <x:numFmt numFmtId="197" formatCode="_-* #,##0\ _F_-;\-* #,##0\ _F_-;_-* &quot;-&quot;\ _F_-;_-@_-"/>
    <x:numFmt numFmtId="198" formatCode="_-* #,##0.00\ _F_-;\-* #,##0.00\ _F_-;_-* &quot;-&quot;??\ _F_-;_-@_-"/>
    <x:numFmt numFmtId="199" formatCode="0.00_)"/>
    <x:numFmt numFmtId="200" formatCode="#,##0.000"/>
    <x:numFmt numFmtId="201" formatCode="#,##0.00\ &quot;F&quot;;[Red]\-#,##0.00\ &quot;F&quot;"/>
    <x:numFmt numFmtId="202" formatCode="#,##0.000000000000000"/>
    <x:numFmt numFmtId="203" formatCode="#,##0.0000000000000000"/>
    <x:numFmt numFmtId="204" formatCode="_-* #,##0_-;\-* #,##0_-;_-* &quot;-&quot;??_-;_-@_-"/>
    <x:numFmt numFmtId="205" formatCode="[$-1010000]d/m/yy;@"/>
    <x:numFmt numFmtId="206" formatCode="0.0"/>
    <x:numFmt numFmtId="207" formatCode="[$-1070000]d/m/yy;@"/>
  </x:numFmts>
  <x:fonts count="87">
    <x:font>
      <x:sz val="10"/>
      <x:name val="Arial"/>
      <x:family val="2"/>
    </x:font>
    <x:font>
      <x:sz val="11"/>
      <x:color theme="1"/>
      <x:name val="Tahoma"/>
      <x:family val="2"/>
      <x:charset val="222"/>
      <x:scheme val="minor"/>
    </x:font>
    <x:font>
      <x:sz val="11"/>
      <x:color theme="1"/>
      <x:name val="Tahoma"/>
      <x:family val="2"/>
      <x:charset val="222"/>
      <x:scheme val="minor"/>
    </x:font>
    <x:font>
      <x:sz val="10"/>
      <x:name val="Arial"/>
      <x:family val="2"/>
    </x:font>
    <x:font>
      <x:sz val="11"/>
      <x:color indexed="8"/>
      <x:name val="Tahoma"/>
      <x:family val="2"/>
      <x:charset val="222"/>
    </x:font>
    <x:font>
      <x:sz val="11"/>
      <x:color indexed="9"/>
      <x:name val="Tahoma"/>
      <x:family val="2"/>
      <x:charset val="222"/>
    </x:font>
    <x:font>
      <x:sz val="11"/>
      <x:color indexed="20"/>
      <x:name val="Tahoma"/>
      <x:family val="2"/>
      <x:charset val="222"/>
    </x:font>
    <x:font>
      <x:b/>
      <x:sz val="11"/>
      <x:color indexed="52"/>
      <x:name val="Tahoma"/>
      <x:family val="2"/>
      <x:charset val="222"/>
    </x:font>
    <x:font>
      <x:b/>
      <x:sz val="11"/>
      <x:color indexed="9"/>
      <x:name val="Tahoma"/>
      <x:family val="2"/>
      <x:charset val="222"/>
    </x:font>
    <x:font>
      <x:i/>
      <x:sz val="11"/>
      <x:color indexed="23"/>
      <x:name val="Tahoma"/>
      <x:family val="2"/>
      <x:charset val="222"/>
    </x:font>
    <x:font>
      <x:sz val="11"/>
      <x:color indexed="17"/>
      <x:name val="Tahoma"/>
      <x:family val="2"/>
      <x:charset val="222"/>
    </x:font>
    <x:font>
      <x:b/>
      <x:sz val="15"/>
      <x:color indexed="62"/>
      <x:name val="Tahoma"/>
      <x:family val="2"/>
      <x:charset val="222"/>
    </x:font>
    <x:font>
      <x:b/>
      <x:sz val="13"/>
      <x:color indexed="62"/>
      <x:name val="Tahoma"/>
      <x:family val="2"/>
      <x:charset val="222"/>
    </x:font>
    <x:font>
      <x:b/>
      <x:sz val="11"/>
      <x:color indexed="62"/>
      <x:name val="Tahoma"/>
      <x:family val="2"/>
      <x:charset val="222"/>
    </x:font>
    <x:font>
      <x:sz val="11"/>
      <x:color indexed="62"/>
      <x:name val="Tahoma"/>
      <x:family val="2"/>
      <x:charset val="222"/>
    </x:font>
    <x:font>
      <x:sz val="11"/>
      <x:color indexed="52"/>
      <x:name val="Tahoma"/>
      <x:family val="2"/>
      <x:charset val="222"/>
    </x:font>
    <x:font>
      <x:sz val="11"/>
      <x:color indexed="60"/>
      <x:name val="Tahoma"/>
      <x:family val="2"/>
      <x:charset val="222"/>
    </x:font>
    <x:font>
      <x:b/>
      <x:sz val="11"/>
      <x:color indexed="63"/>
      <x:name val="Tahoma"/>
      <x:family val="2"/>
      <x:charset val="222"/>
    </x:font>
    <x:font>
      <x:b/>
      <x:sz val="18"/>
      <x:color indexed="62"/>
      <x:name val="Tahoma"/>
      <x:family val="2"/>
      <x:charset val="222"/>
    </x:font>
    <x:font>
      <x:b/>
      <x:sz val="11"/>
      <x:color indexed="8"/>
      <x:name val="Tahoma"/>
      <x:family val="2"/>
      <x:charset val="222"/>
    </x:font>
    <x:font>
      <x:sz val="11"/>
      <x:color indexed="10"/>
      <x:name val="Tahoma"/>
      <x:family val="2"/>
      <x:charset val="222"/>
    </x:font>
    <x:font>
      <x:sz val="10"/>
      <x:name val="Arial"/>
      <x:family val="2"/>
    </x:font>
    <x:font>
      <x:sz val="9"/>
      <x:name val="Times New Roman"/>
      <x:family val="1"/>
    </x:font>
    <x:font>
      <x:sz val="10"/>
      <x:name val="Courier"/>
      <x:family val="3"/>
    </x:font>
    <x:font>
      <x:sz val="14"/>
      <x:name val="CordiaUPC"/>
      <x:family val="2"/>
    </x:font>
    <x:font>
      <x:sz val="10"/>
      <x:color indexed="8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b/>
      <x:i/>
      <x:sz val="16"/>
      <x:name val="Helv"/>
    </x:font>
    <x:font>
      <x:sz val="12"/>
      <x:color indexed="8"/>
      <x:name val="Times New Roman"/>
      <x:family val="1"/>
    </x:font>
    <x:font>
      <x:sz val="10"/>
      <x:name val="MS Sans Serif"/>
      <x:family val="2"/>
      <x:charset val="222"/>
    </x:font>
    <x:font>
      <x:sz val="10"/>
      <x:name val="Arial"/>
      <x:family val="2"/>
    </x:font>
    <x:font>
      <x:sz val="18"/>
      <x:name val="AngsanaUPC"/>
      <x:family val="1"/>
      <x:charset val="222"/>
    </x:font>
    <x:font>
      <x:b/>
      <x:sz val="10"/>
      <x:name val="Tahoma"/>
      <x:family val="2"/>
      <x:scheme val="major"/>
    </x:font>
    <x:font>
      <x:b/>
      <x:sz val="11"/>
      <x:name val="Arial"/>
      <x:family val="2"/>
    </x:font>
    <x:font>
      <x:b/>
      <x:sz val="14"/>
      <x:name val="Arial"/>
      <x:family val="2"/>
    </x:font>
    <x:font>
      <x:b/>
      <x:sz val="10"/>
      <x:name val="Arial"/>
      <x:family val="2"/>
    </x:font>
    <x:font>
      <x:sz val="26"/>
      <x:name val="AngsanaUPC"/>
      <x:family val="1"/>
    </x:font>
    <x:font>
      <x:sz val="24"/>
      <x:name val="AngsanaUPC"/>
      <x:family val="1"/>
      <x:charset val="222"/>
    </x:font>
    <x:font>
      <x:sz val="24"/>
      <x:name val="AngsanaUPC"/>
      <x:family val="1"/>
    </x:font>
    <x:font>
      <x:sz val="24"/>
      <x:color indexed="12"/>
      <x:name val="AngsanaUPC"/>
      <x:family val="1"/>
      <x:charset val="222"/>
    </x:font>
    <x:font>
      <x:b/>
      <x:sz val="35"/>
      <x:name val="AngsanaUPC"/>
      <x:family val="1"/>
      <x:charset val="222"/>
    </x:font>
    <x:font>
      <x:b/>
      <x:sz val="30"/>
      <x:name val="AngsanaUPC"/>
      <x:family val="1"/>
    </x:font>
    <x:font>
      <x:b/>
      <x:sz val="26"/>
      <x:name val="AngsanaUPC"/>
      <x:family val="1"/>
    </x:font>
    <x:font>
      <x:sz val="26"/>
      <x:name val="AngsanaUPC"/>
      <x:family val="1"/>
      <x:charset val="222"/>
    </x:font>
    <x:font>
      <x:u/>
      <x:sz val="26"/>
      <x:name val="AngsanaUPC"/>
      <x:family val="1"/>
    </x:font>
    <x:font>
      <x:b/>
      <x:sz val="35"/>
      <x:name val="AngsanaUPC"/>
      <x:family val="1"/>
    </x:font>
    <x:font>
      <x:sz val="18"/>
      <x:name val="Arial"/>
      <x:family val="2"/>
    </x:font>
    <x:font>
      <x:sz val="18"/>
      <x:name val="Angsana New"/>
      <x:family val="1"/>
    </x:font>
    <x:font>
      <x:b/>
      <x:sz val="30"/>
      <x:name val="Angsana New"/>
      <x:family val="1"/>
    </x:font>
    <x:font>
      <x:b/>
      <x:sz val="18"/>
      <x:name val="Angsana New"/>
      <x:family val="1"/>
    </x:font>
    <x:font>
      <x:sz val="14"/>
      <x:name val="Angsana New"/>
      <x:family val="1"/>
    </x:font>
    <x:font>
      <x:b/>
      <x:sz val="22"/>
      <x:name val="Angsana New"/>
      <x:family val="1"/>
    </x:font>
    <x:font>
      <x:sz val="22"/>
      <x:name val="AngsanaUPC"/>
      <x:family val="1"/>
    </x:font>
    <x:font>
      <x:sz val="11"/>
      <x:name val="Tahoma"/>
      <x:family val="2"/>
      <x:charset val="222"/>
      <x:scheme val="minor"/>
    </x:font>
    <x:font>
      <x:sz val="12"/>
      <x:name val="Tahoma"/>
      <x:family val="2"/>
      <x:scheme val="major"/>
    </x:font>
    <x:font>
      <x:sz val="11"/>
      <x:name val="Arial"/>
      <x:family val="2"/>
    </x:font>
    <x:font>
      <x:b/>
      <x:sz val="24"/>
      <x:name val="AngsanaUPC"/>
      <x:family val="1"/>
    </x:font>
    <x:font>
      <x:sz val="10"/>
      <x:name val="Tahoma"/>
      <x:family val="2"/>
      <x:charset val="222"/>
      <x:scheme val="minor"/>
    </x:font>
    <x:font>
      <x:sz val="11"/>
      <x:color rgb="FF0000FF"/>
      <x:name val="Tahoma"/>
      <x:family val="2"/>
      <x:charset val="222"/>
    </x:font>
    <x:font>
      <x:b/>
      <x:sz val="10"/>
      <x:color rgb="FF0000FF"/>
      <x:name val="Tahoma"/>
      <x:family val="2"/>
      <x:charset val="222"/>
    </x:font>
    <x:font>
      <x:b/>
      <x:sz val="14"/>
      <x:color theme="1"/>
      <x:name val="Tahoma"/>
      <x:family val="2"/>
      <x:scheme val="minor"/>
    </x:font>
    <x:font>
      <x:b/>
      <x:sz val="11"/>
      <x:color rgb="FF0000FF"/>
      <x:name val="Tahoma"/>
      <x:family val="2"/>
      <x:charset val="222"/>
    </x:font>
    <x:font>
      <x:sz val="10"/>
      <x:color rgb="FF0000FF"/>
      <x:name val="Tahoma"/>
      <x:family val="2"/>
      <x:charset val="222"/>
    </x:font>
    <x:font>
      <x:sz val="14"/>
      <x:color theme="1"/>
      <x:name val="Tahoma"/>
      <x:family val="2"/>
      <x:charset val="222"/>
      <x:scheme val="minor"/>
    </x:font>
    <x:font>
      <x:sz val="11"/>
      <x:color rgb="FF0000FF"/>
      <x:name val="Tahoma"/>
      <x:family val="2"/>
      <x:charset val="222"/>
      <x:scheme val="minor"/>
    </x:font>
    <x:font>
      <x:sz val="18"/>
      <x:color theme="1"/>
      <x:name val="AngsanaUPC"/>
      <x:family val="1"/>
    </x:font>
    <x:font>
      <x:b/>
      <x:sz val="10"/>
      <x:name val="Tahoma"/>
      <x:family val="2"/>
      <x:scheme val="minor"/>
    </x:font>
    <x:font>
      <x:sz val="10"/>
      <x:name val="Arial"/>
      <x:family val="2"/>
    </x:font>
    <x:font>
      <x:sz val="10"/>
      <x:name val="Arial"/>
      <x:family val="2"/>
      <x:charset val="222"/>
    </x:font>
    <x:font>
      <x:sz val="14"/>
      <x:name val="Arial"/>
      <x:family val="2"/>
      <x:charset val="222"/>
    </x:font>
    <x:font>
      <x:sz val="12"/>
      <x:name val="Arial"/>
      <x:family val="2"/>
      <x:charset val="222"/>
    </x:font>
    <x:font>
      <x:sz val="12"/>
      <x:name val="Tahoma"/>
      <x:family val="2"/>
      <x:charset val="222"/>
      <x:scheme val="minor"/>
    </x:font>
    <x:font>
      <x:sz val="9"/>
      <x:color indexed="81"/>
      <x:name val="Tahoma"/>
      <x:family val="2"/>
    </x:font>
    <x:font>
      <x:sz val="10"/>
      <x:name val="Tahoma"/>
      <x:family val="2"/>
      <x:scheme val="major"/>
    </x:font>
    <x:font>
      <x:sz val="11"/>
      <x:name val="Tahoma"/>
      <x:family val="2"/>
      <x:scheme val="minor"/>
    </x:font>
    <x:font>
      <x:sz val="22"/>
      <x:name val="AngsanaUPC"/>
      <x:family val="1"/>
      <x:charset val="222"/>
    </x:font>
    <x:font>
      <x:sz val="22"/>
      <x:name val="Arial"/>
      <x:family val="2"/>
    </x:font>
    <x:font>
      <x:sz val="14"/>
      <x:name val="Arial"/>
      <x:family val="2"/>
    </x:font>
    <x:font>
      <x:sz val="12"/>
      <x:color rgb="FFFF0000"/>
      <x:name val="Tahoma"/>
      <x:family val="2"/>
      <x:scheme val="major"/>
    </x:font>
    <x:font>
      <x:sz val="10"/>
      <x:color rgb="FFFF0000"/>
      <x:name val="Tahoma"/>
      <x:family val="2"/>
      <x:charset val="222"/>
      <x:scheme val="minor"/>
    </x:font>
    <x:font>
      <x:b/>
      <x:sz val="10"/>
      <x:color rgb="FFFF0000"/>
      <x:name val="Arial"/>
      <x:family val="2"/>
    </x:font>
    <x:font>
      <x:sz val="10"/>
      <x:color rgb="FFFF0000"/>
      <x:name val="Arial"/>
      <x:family val="2"/>
    </x:font>
    <x:font>
      <x:b/>
      <x:sz val="9"/>
      <x:color indexed="81"/>
      <x:name val="Tahoma"/>
      <x:family val="2"/>
    </x:font>
    <x:font>
      <x:sz val="28"/>
      <x:name val="AngsanaUPC"/>
      <x:family val="1"/>
    </x:font>
    <x:font>
      <x:b/>
      <x:sz val="28"/>
      <x:name val="AngsanaUPC"/>
      <x:family val="1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indexed="47"/>
      </x:patternFill>
    </x:fill>
    <x:fill>
      <x:patternFill patternType="solid">
        <x:fgColor indexed="29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22"/>
      </x:patternFill>
    </x:fill>
    <x:fill>
      <x:patternFill patternType="solid">
        <x:fgColor indexed="43"/>
      </x:patternFill>
    </x:fill>
    <x:fill>
      <x:patternFill patternType="solid">
        <x:fgColor indexed="44"/>
      </x:patternFill>
    </x:fill>
    <x:fill>
      <x:patternFill patternType="solid">
        <x:fgColor indexed="49"/>
      </x:patternFill>
    </x:fill>
    <x:fill>
      <x:patternFill patternType="solid">
        <x:fgColor indexed="10"/>
      </x:patternFill>
    </x:fill>
    <x:fill>
      <x:patternFill patternType="solid">
        <x:fgColor indexed="57"/>
      </x:patternFill>
    </x:fill>
    <x:fill>
      <x:patternFill patternType="solid">
        <x:fgColor indexed="54"/>
      </x:patternFill>
    </x:fill>
    <x:fill>
      <x:patternFill patternType="solid">
        <x:fgColor indexed="53"/>
      </x:patternFill>
    </x:fill>
    <x:fill>
      <x:patternFill patternType="solid">
        <x:fgColor indexed="45"/>
      </x:patternFill>
    </x:fill>
    <x:fill>
      <x:patternFill patternType="solid">
        <x:fgColor indexed="9"/>
      </x:patternFill>
    </x:fill>
    <x:fill>
      <x:patternFill patternType="solid">
        <x:fgColor indexed="55"/>
      </x:patternFill>
    </x:fill>
    <x:fill>
      <x:patternFill patternType="solid">
        <x:fgColor indexed="42"/>
      </x:patternFill>
    </x:fill>
    <x:fill>
      <x:patternFill patternType="solid">
        <x:fgColor rgb="FFFFFF00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rgb="FFFFCCFF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99FF33"/>
        <x:bgColor indexed="64"/>
      </x:patternFill>
    </x:fill>
    <x:fill>
      <x:patternFill patternType="solid">
        <x:fgColor rgb="FF66FFFF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6" tint="0.39997558519241921"/>
        <x:bgColor indexed="64"/>
      </x:patternFill>
    </x:fill>
    <x:fill>
      <x:patternFill patternType="solid">
        <x:fgColor rgb="FF6699FF"/>
        <x:bgColor indexed="64"/>
      </x:patternFill>
    </x:fill>
  </x:fills>
  <x:borders count="28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49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49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49"/>
      </x:top>
      <x:bottom style="double">
        <x:color indexed="49"/>
      </x:bottom>
      <x:diagonal/>
    </x:border>
    <x:border>
      <x:left/>
      <x:right/>
      <x:top style="double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217">
    <x:xf numFmtId="0" fontId="0" fillId="0" borderId="0">
      <x:alignment vertical="top"/>
    </x:xf>
    <x:xf numFmtId="0" fontId="4" fillId="2" borderId="0" applyNumberFormat="0" applyBorder="0" applyAlignment="0" applyProtection="0"/>
    <x:xf numFmtId="0" fontId="4" fillId="3" borderId="0" applyNumberFormat="0" applyBorder="0" applyAlignment="0" applyProtection="0"/>
    <x:xf numFmtId="0" fontId="4" fillId="4" borderId="0" applyNumberFormat="0" applyBorder="0" applyAlignment="0" applyProtection="0"/>
    <x:xf numFmtId="0" fontId="4" fillId="2" borderId="0" applyNumberFormat="0" applyBorder="0" applyAlignment="0" applyProtection="0"/>
    <x:xf numFmtId="0" fontId="4" fillId="5" borderId="0" applyNumberFormat="0" applyBorder="0" applyAlignment="0" applyProtection="0"/>
    <x:xf numFmtId="0" fontId="4" fillId="4" borderId="0" applyNumberFormat="0" applyBorder="0" applyAlignment="0" applyProtection="0"/>
    <x:xf numFmtId="0" fontId="4" fillId="6" borderId="0" applyNumberFormat="0" applyBorder="0" applyAlignment="0" applyProtection="0"/>
    <x:xf numFmtId="0" fontId="4" fillId="3" borderId="0" applyNumberFormat="0" applyBorder="0" applyAlignment="0" applyProtection="0"/>
    <x:xf numFmtId="0" fontId="4" fillId="7" borderId="0" applyNumberFormat="0" applyBorder="0" applyAlignment="0" applyProtection="0"/>
    <x:xf numFmtId="0" fontId="4" fillId="6" borderId="0" applyNumberFormat="0" applyBorder="0" applyAlignment="0" applyProtection="0"/>
    <x:xf numFmtId="0" fontId="4" fillId="8" borderId="0" applyNumberFormat="0" applyBorder="0" applyAlignment="0" applyProtection="0"/>
    <x:xf numFmtId="0" fontId="4" fillId="7" borderId="0" applyNumberFormat="0" applyBorder="0" applyAlignment="0" applyProtection="0"/>
    <x:xf numFmtId="0" fontId="5" fillId="9" borderId="0" applyNumberFormat="0" applyBorder="0" applyAlignment="0" applyProtection="0"/>
    <x:xf numFmtId="0" fontId="5" fillId="3" borderId="0" applyNumberFormat="0" applyBorder="0" applyAlignment="0" applyProtection="0"/>
    <x:xf numFmtId="0" fontId="5" fillId="7" borderId="0" applyNumberFormat="0" applyBorder="0" applyAlignment="0" applyProtection="0"/>
    <x:xf numFmtId="0" fontId="5" fillId="6" borderId="0" applyNumberFormat="0" applyBorder="0" applyAlignment="0" applyProtection="0"/>
    <x:xf numFmtId="0" fontId="5" fillId="9" borderId="0" applyNumberFormat="0" applyBorder="0" applyAlignment="0" applyProtection="0"/>
    <x:xf numFmtId="0" fontId="5" fillId="3" borderId="0" applyNumberFormat="0" applyBorder="0" applyAlignment="0" applyProtection="0"/>
    <x:xf numFmtId="0" fontId="5" fillId="9" borderId="0" applyNumberFormat="0" applyBorder="0" applyAlignment="0" applyProtection="0"/>
    <x:xf numFmtId="0" fontId="5" fillId="10" borderId="0" applyNumberFormat="0" applyBorder="0" applyAlignment="0" applyProtection="0"/>
    <x:xf numFmtId="0" fontId="5" fillId="11" borderId="0" applyNumberFormat="0" applyBorder="0" applyAlignment="0" applyProtection="0"/>
    <x:xf numFmtId="0" fontId="5" fillId="12" borderId="0" applyNumberFormat="0" applyBorder="0" applyAlignment="0" applyProtection="0"/>
    <x:xf numFmtId="0" fontId="5" fillId="9" borderId="0" applyNumberFormat="0" applyBorder="0" applyAlignment="0" applyProtection="0"/>
    <x:xf numFmtId="0" fontId="5" fillId="13" borderId="0" applyNumberFormat="0" applyBorder="0" applyAlignment="0" applyProtection="0"/>
    <x:xf numFmtId="0" fontId="6" fillId="14" borderId="0" applyNumberFormat="0" applyBorder="0" applyAlignment="0" applyProtection="0"/>
    <x:xf numFmtId="0" fontId="7" fillId="15" borderId="1" applyNumberFormat="0" applyAlignment="0" applyProtection="0"/>
    <x:xf numFmtId="0" fontId="8" fillId="16" borderId="2" applyNumberFormat="0" applyAlignment="0" applyProtection="0"/>
    <x:xf numFmtId="0" fontId="9" fillId="0" borderId="0" applyNumberFormat="0" applyFill="0" applyBorder="0" applyAlignment="0" applyProtection="0"/>
    <x:xf numFmtId="0" fontId="10" fillId="17" borderId="0" applyNumberFormat="0" applyBorder="0" applyAlignment="0" applyProtection="0"/>
    <x:xf numFmtId="0" fontId="11" fillId="0" borderId="3" applyNumberFormat="0" applyFill="0" applyAlignment="0" applyProtection="0"/>
    <x:xf numFmtId="0" fontId="12" fillId="0" borderId="4" applyNumberFormat="0" applyFill="0" applyAlignment="0" applyProtection="0"/>
    <x:xf numFmtId="0" fontId="13" fillId="0" borderId="5" applyNumberFormat="0" applyFill="0" applyAlignment="0" applyProtection="0"/>
    <x:xf numFmtId="0" fontId="13" fillId="0" borderId="0" applyNumberFormat="0" applyFill="0" applyBorder="0" applyAlignment="0" applyProtection="0"/>
    <x:xf numFmtId="0" fontId="14" fillId="7" borderId="1" applyNumberFormat="0" applyAlignment="0" applyProtection="0"/>
    <x:xf numFmtId="0" fontId="15" fillId="0" borderId="6" applyNumberFormat="0" applyFill="0" applyAlignment="0" applyProtection="0"/>
    <x:xf numFmtId="0" fontId="16" fillId="7" borderId="0" applyNumberFormat="0" applyBorder="0" applyAlignment="0" applyProtection="0"/>
    <x:xf numFmtId="0" fontId="3" fillId="4" borderId="7" applyNumberFormat="0" applyFont="0" applyAlignment="0" applyProtection="0"/>
    <x:xf numFmtId="0" fontId="17" fillId="15" borderId="8" applyNumberFormat="0" applyAlignment="0" applyProtection="0"/>
    <x:xf numFmtId="0" fontId="18" fillId="0" borderId="0" applyNumberFormat="0" applyFill="0" applyBorder="0" applyAlignment="0" applyProtection="0"/>
    <x:xf numFmtId="0" fontId="19" fillId="0" borderId="9" applyNumberFormat="0" applyFill="0" applyAlignment="0" applyProtection="0"/>
    <x:xf numFmtId="0" fontId="20" fillId="0" borderId="0" applyNumberFormat="0" applyFill="0" applyBorder="0" applyAlignment="0" applyProtection="0"/>
    <x:xf numFmtId="0" fontId="21" fillId="0" borderId="0"/>
    <x:xf numFmtId="189" fontId="21" fillId="0" borderId="0" applyFont="0" applyFill="0" applyBorder="0" applyAlignment="0" applyProtection="0"/>
    <x:xf numFmtId="190" fontId="21" fillId="0" borderId="0" applyFill="0" applyBorder="0" applyAlignment="0"/>
    <x:xf numFmtId="191" fontId="22" fillId="0" borderId="0" applyFill="0" applyBorder="0" applyAlignment="0"/>
    <x:xf numFmtId="192" fontId="22" fillId="0" borderId="0" applyFill="0" applyBorder="0" applyAlignment="0"/>
    <x:xf numFmtId="193" fontId="23" fillId="0" borderId="0" applyFill="0" applyBorder="0" applyAlignment="0"/>
    <x:xf numFmtId="194" fontId="24" fillId="0" borderId="0" applyFill="0" applyBorder="0" applyAlignment="0"/>
    <x:xf numFmtId="190" fontId="21" fillId="0" borderId="0" applyFill="0" applyBorder="0" applyAlignment="0"/>
    <x:xf numFmtId="195" fontId="21" fillId="0" borderId="0" applyFill="0" applyBorder="0" applyAlignment="0"/>
    <x:xf numFmtId="191" fontId="22" fillId="0" borderId="0" applyFill="0" applyBorder="0" applyAlignment="0"/>
    <x:xf numFmtId="190" fontId="21" fillId="0" borderId="0" applyFont="0" applyFill="0" applyBorder="0" applyAlignment="0" applyProtection="0"/>
    <x:xf numFmtId="191" fontId="22" fillId="0" borderId="0" applyFont="0" applyFill="0" applyBorder="0" applyAlignment="0" applyProtection="0"/>
    <x:xf numFmtId="14" fontId="25" fillId="0" borderId="0" applyFill="0" applyBorder="0" applyAlignment="0"/>
    <x:xf numFmtId="196" fontId="21" fillId="0" borderId="10">
      <x:alignment vertical="center"/>
    </x:xf>
    <x:xf numFmtId="190" fontId="21" fillId="0" borderId="0" applyFill="0" applyBorder="0" applyAlignment="0"/>
    <x:xf numFmtId="191" fontId="22" fillId="0" borderId="0" applyFill="0" applyBorder="0" applyAlignment="0"/>
    <x:xf numFmtId="190" fontId="21" fillId="0" borderId="0" applyFill="0" applyBorder="0" applyAlignment="0"/>
    <x:xf numFmtId="195" fontId="21" fillId="0" borderId="0" applyFill="0" applyBorder="0" applyAlignment="0"/>
    <x:xf numFmtId="191" fontId="22" fillId="0" borderId="0" applyFill="0" applyBorder="0" applyAlignment="0"/>
    <x:xf numFmtId="38" fontId="26" fillId="19" borderId="0" applyNumberFormat="0" applyBorder="0" applyAlignment="0" applyProtection="0"/>
    <x:xf numFmtId="0" fontId="27" fillId="0" borderId="11" applyNumberFormat="0" applyAlignment="0" applyProtection="0">
      <x:alignment horizontal="left" vertical="center"/>
    </x:xf>
    <x:xf numFmtId="0" fontId="27" fillId="0" borderId="12">
      <x:alignment horizontal="left" vertical="center"/>
    </x:xf>
    <x:xf numFmtId="10" fontId="26" fillId="20" borderId="13" applyNumberFormat="0" applyBorder="0" applyAlignment="0" applyProtection="0"/>
    <x:xf numFmtId="190" fontId="21" fillId="0" borderId="0" applyFill="0" applyBorder="0" applyAlignment="0"/>
    <x:xf numFmtId="191" fontId="22" fillId="0" borderId="0" applyFill="0" applyBorder="0" applyAlignment="0"/>
    <x:xf numFmtId="190" fontId="21" fillId="0" borderId="0" applyFill="0" applyBorder="0" applyAlignment="0"/>
    <x:xf numFmtId="195" fontId="21" fillId="0" borderId="0" applyFill="0" applyBorder="0" applyAlignment="0"/>
    <x:xf numFmtId="191" fontId="22" fillId="0" borderId="0" applyFill="0" applyBorder="0" applyAlignment="0"/>
    <x:xf numFmtId="197" fontId="21" fillId="0" borderId="0" applyFont="0" applyFill="0" applyBorder="0" applyAlignment="0" applyProtection="0"/>
    <x:xf numFmtId="198" fontId="21" fillId="0" borderId="0" applyFont="0" applyFill="0" applyBorder="0" applyAlignment="0" applyProtection="0"/>
    <x:xf numFmtId="187" fontId="21" fillId="0" borderId="0" applyFont="0" applyFill="0" applyBorder="0" applyAlignment="0" applyProtection="0"/>
    <x:xf numFmtId="188" fontId="21" fillId="0" borderId="0" applyFont="0" applyFill="0" applyBorder="0" applyAlignment="0" applyProtection="0"/>
    <x:xf numFmtId="199" fontId="28" fillId="0" borderId="0"/>
    <x:xf numFmtId="0" fontId="29" fillId="21" borderId="0"/>
    <x:xf numFmtId="194" fontId="24" fillId="0" borderId="0" applyFont="0" applyFill="0" applyBorder="0" applyAlignment="0" applyProtection="0"/>
    <x:xf numFmtId="200" fontId="21" fillId="0" borderId="0" applyFont="0" applyFill="0" applyBorder="0" applyAlignment="0" applyProtection="0"/>
    <x:xf numFmtId="10" fontId="21" fillId="0" borderId="0" applyFont="0" applyFill="0" applyBorder="0" applyAlignment="0" applyProtection="0"/>
    <x:xf numFmtId="190" fontId="21" fillId="0" borderId="0" applyFill="0" applyBorder="0" applyAlignment="0"/>
    <x:xf numFmtId="191" fontId="22" fillId="0" borderId="0" applyFill="0" applyBorder="0" applyAlignment="0"/>
    <x:xf numFmtId="190" fontId="21" fillId="0" borderId="0" applyFill="0" applyBorder="0" applyAlignment="0"/>
    <x:xf numFmtId="195" fontId="21" fillId="0" borderId="0" applyFill="0" applyBorder="0" applyAlignment="0"/>
    <x:xf numFmtId="191" fontId="22" fillId="0" borderId="0" applyFill="0" applyBorder="0" applyAlignment="0"/>
    <x:xf numFmtId="201" fontId="30" fillId="0" borderId="0">
      <x:alignment horizontal="center"/>
    </x:xf>
    <x:xf numFmtId="49" fontId="25" fillId="0" borderId="0" applyFill="0" applyBorder="0" applyAlignment="0"/>
    <x:xf numFmtId="202" fontId="21" fillId="0" borderId="0" applyFill="0" applyBorder="0" applyAlignment="0"/>
    <x:xf numFmtId="203" fontId="21" fillId="0" borderId="0" applyFill="0" applyBorder="0" applyAlignment="0"/>
    <x:xf numFmtId="43" fontId="3" fillId="0" borderId="0" applyFont="0" applyFill="0" applyBorder="0" applyAlignment="0" applyProtection="0"/>
    <x:xf numFmtId="0" fontId="3" fillId="0" borderId="0"/>
    <x:xf numFmtId="0" fontId="31" fillId="0" borderId="0"/>
    <x:xf numFmtId="189" fontId="3" fillId="0" borderId="0" applyFont="0" applyFill="0" applyBorder="0" applyAlignment="0" applyProtection="0"/>
    <x:xf numFmtId="0" fontId="2" fillId="0" borderId="0"/>
    <x:xf numFmtId="43" fontId="3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" fillId="0" borderId="0" applyFont="0" applyFill="0" applyBorder="0" applyAlignment="0" applyProtection="0"/>
    <x:xf numFmtId="0" fontId="3" fillId="0" borderId="0"/>
    <x:xf numFmtId="0" fontId="3" fillId="0" borderId="0"/>
    <x:xf numFmtId="0" fontId="3" fillId="0" borderId="0"/>
    <x:xf numFmtId="189" fontId="3" fillId="0" borderId="0" applyFont="0" applyFill="0" applyBorder="0" applyAlignment="0" applyProtection="0"/>
    <x:xf numFmtId="0" fontId="3" fillId="0" borderId="0"/>
    <x:xf numFmtId="43" fontId="3" fillId="0" borderId="0" applyFont="0" applyFill="0" applyBorder="0" applyAlignment="0" applyProtection="0"/>
    <x:xf numFmtId="0" fontId="1" fillId="0" borderId="0"/>
    <x:xf numFmtId="0" fontId="68" fillId="0" borderId="0"/>
    <x:xf numFmtId="43" fontId="68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0" fontId="3" fillId="0" borderId="0"/>
    <x:xf numFmtId="0" fontId="3" fillId="0" borderId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9" fontId="3" fillId="0" borderId="0" applyFont="0" applyFill="0" applyBorder="0" applyAlignment="0" applyProtection="0"/>
    <x:xf numFmtId="0" fontId="38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0" fontId="76" fillId="0" borderId="0" applyNumberFormat="1" applyFill="1" applyBorder="0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49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0" fillId="0" borderId="0" applyNumberFormat="1" applyFill="1" applyBorder="0" applyAlignment="1" applyProtection="1">
      <x:protection locked="1" hidden="0"/>
    </x:xf>
    <x:xf numFmtId="0" fontId="43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9" fillId="0" borderId="21" applyNumberFormat="1" applyFill="1" applyBorder="1" applyAlignment="1" applyProtection="1">
      <x:protection locked="1" hidden="0"/>
    </x:xf>
    <x:xf numFmtId="0" fontId="44" fillId="0" borderId="17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0" hidden="0"/>
    </x:xf>
    <x:xf numFmtId="0" fontId="50" fillId="0" borderId="17" applyNumberFormat="1" applyFill="1" applyBorder="1" applyAlignment="1" applyProtection="1">
      <x:protection locked="1" hidden="0"/>
    </x:xf>
    <x:xf numFmtId="0" fontId="38" fillId="0" borderId="17" applyNumberFormat="1" applyFill="1" applyBorder="1" applyAlignment="1" applyProtection="1">
      <x:protection locked="1" hidden="0"/>
    </x:xf>
    <x:xf numFmtId="14" fontId="44" fillId="0" borderId="17" applyNumberFormat="1" applyFill="1" applyBorder="1" applyAlignment="1" applyProtection="1">
      <x:protection locked="1" hidden="0"/>
    </x:xf>
    <x:xf numFmtId="0" fontId="43" fillId="0" borderId="18" applyNumberFormat="1" applyFill="1" applyBorder="1" applyAlignment="1" applyProtection="1">
      <x:protection locked="1" hidden="0"/>
    </x:xf>
    <x:xf numFmtId="0" fontId="38" fillId="0" borderId="19" applyNumberFormat="1" applyFill="1" applyBorder="1" applyAlignment="1" applyProtection="1">
      <x:protection locked="1" hidden="0"/>
    </x:xf>
    <x:xf numFmtId="0" fontId="55" fillId="18" borderId="0" applyNumberFormat="1" applyFill="0" applyBorder="0" applyAlignment="1" applyProtection="1">
      <x:protection locked="1" hidden="0"/>
    </x:xf>
    <x:xf numFmtId="0" fontId="43" fillId="0" borderId="14" applyNumberFormat="1" applyFill="1" applyBorder="1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14" fontId="38" fillId="0" borderId="0" applyNumberFormat="1" applyFill="1" applyBorder="0" applyAlignment="1" applyProtection="1">
      <x:protection locked="1" hidden="0"/>
    </x:xf>
    <x:xf numFmtId="14" fontId="40" fillId="0" borderId="14" applyNumberFormat="1" applyFill="1" applyBorder="1" applyAlignment="1" applyProtection="1">
      <x:protection locked="1" hidden="0"/>
    </x:xf>
    <x:xf numFmtId="1" fontId="44" fillId="0" borderId="0" applyNumberFormat="1" applyFill="1" applyBorder="0" applyAlignment="1" applyProtection="1">
      <x:protection locked="1" hidden="0"/>
    </x:xf>
    <x:xf numFmtId="0" fontId="40" fillId="0" borderId="14" applyNumberFormat="1" applyFill="1" applyBorder="1" applyAlignment="1" applyProtection="1">
      <x:protection locked="1" hidden="0"/>
    </x:xf>
    <x:xf numFmtId="0" fontId="52" fillId="18" borderId="0" applyNumberFormat="1" applyFill="0" applyBorder="0" applyAlignment="1" applyProtection="1">
      <x:protection locked="1" hidden="0"/>
    </x:xf>
    <x:xf numFmtId="205" fontId="44" fillId="0" borderId="0" applyNumberFormat="1" applyFill="1" applyBorder="0" applyAlignment="1" applyProtection="1">
      <x:protection locked="1" hidden="0"/>
    </x:xf>
    <x:xf numFmtId="0" fontId="47" fillId="0" borderId="19" applyNumberFormat="1" applyFill="1" applyBorder="1" applyAlignment="1" applyProtection="1">
      <x:protection locked="1" hidden="0"/>
    </x:xf>
    <x:xf numFmtId="0" fontId="44" fillId="0" borderId="24" applyNumberFormat="1" applyFill="1" applyBorder="1" applyAlignment="1" applyProtection="1">
      <x:protection locked="1" hidden="0"/>
    </x:xf>
    <x:xf numFmtId="0" fontId="38" fillId="0" borderId="24" applyNumberFormat="1" applyFill="1" applyBorder="1" applyAlignment="1" applyProtection="1">
      <x:protection locked="1" hidden="0"/>
    </x:xf>
    <x:xf numFmtId="14" fontId="38" fillId="0" borderId="15" applyNumberFormat="1" applyFill="1" applyBorder="1" applyAlignment="1" applyProtection="1">
      <x:protection locked="1" hidden="0"/>
    </x:xf>
    <x:xf numFmtId="0" fontId="76" fillId="0" borderId="20" applyNumberFormat="1" applyFill="1" applyBorder="1" applyAlignment="1" applyProtection="1">
      <x:protection locked="1" hidden="0"/>
    </x:xf>
    <x:xf numFmtId="0" fontId="76" fillId="0" borderId="23" applyNumberFormat="1" applyFill="1" applyBorder="1" applyAlignment="1" applyProtection="1">
      <x:protection locked="1" hidden="0"/>
    </x:xf>
    <x:xf numFmtId="0" fontId="76" fillId="0" borderId="25" applyNumberFormat="1" applyFill="1" applyBorder="1" applyAlignment="1" applyProtection="1">
      <x:protection locked="1" hidden="0"/>
    </x:xf>
    <x:xf numFmtId="0" fontId="76" fillId="0" borderId="13" applyNumberFormat="1" applyFill="1" applyBorder="1" applyAlignment="1" applyProtection="1">
      <x:protection locked="1" hidden="0"/>
    </x:xf>
    <x:xf numFmtId="0" fontId="44" fillId="0" borderId="21" applyNumberFormat="1" applyFill="1" applyBorder="1" applyAlignment="1" applyProtection="1">
      <x:protection locked="1" hidden="0"/>
    </x:xf>
    <x:xf numFmtId="0" fontId="44" fillId="0" borderId="18" applyNumberFormat="1" applyFill="1" applyBorder="1" applyAlignment="1" applyProtection="1">
      <x:protection locked="1" hidden="0"/>
    </x:xf>
    <x:xf numFmtId="49" fontId="44" fillId="0" borderId="17" applyNumberFormat="1" applyFill="1" applyBorder="1" applyAlignment="1" applyProtection="1">
      <x:protection locked="1" hidden="0"/>
    </x:xf>
    <x:xf numFmtId="0" fontId="44" fillId="0" borderId="25" applyNumberFormat="1" applyFill="1" applyBorder="1" applyAlignment="1" applyProtection="1">
      <x:protection locked="1" hidden="0"/>
    </x:xf>
    <x:xf numFmtId="0" fontId="44" fillId="0" borderId="19" applyNumberFormat="1" applyFill="1" applyBorder="1" applyAlignment="1" applyProtection="1">
      <x:protection locked="1" hidden="0"/>
    </x:xf>
    <x:xf numFmtId="14" fontId="44" fillId="0" borderId="19" applyNumberFormat="1" applyFill="1" applyBorder="1" applyAlignment="1" applyProtection="1">
      <x:protection locked="1" hidden="0"/>
    </x:xf>
    <x:xf numFmtId="14" fontId="44" fillId="0" borderId="0" applyNumberFormat="1" applyFill="1" applyBorder="0" applyAlignment="1" applyProtection="1">
      <x:protection locked="1" hidden="0"/>
    </x:xf>
    <x:xf numFmtId="14" fontId="44" fillId="0" borderId="14" applyNumberFormat="1" applyFill="1" applyBorder="1" applyAlignment="1" applyProtection="1">
      <x:protection locked="1" hidden="0"/>
    </x:xf>
    <x:xf numFmtId="0" fontId="47" fillId="0" borderId="14" applyNumberFormat="1" applyFill="1" applyBorder="1" applyAlignment="1" applyProtection="1">
      <x:protection locked="1" hidden="0"/>
    </x:xf>
    <x:xf numFmtId="0" fontId="47" fillId="0" borderId="16" applyNumberFormat="1" applyFill="1" applyBorder="1" applyAlignment="1" applyProtection="1">
      <x:protection locked="1" hidden="0"/>
    </x:xf>
    <x:xf numFmtId="0" fontId="77" fillId="0" borderId="19" applyNumberFormat="1" applyFill="1" applyBorder="1" applyAlignment="1" applyProtection="1">
      <x:protection locked="1" hidden="0"/>
    </x:xf>
    <x:xf numFmtId="204" fontId="47" fillId="0" borderId="19" applyNumberFormat="1" applyFill="1" applyBorder="1" applyAlignment="1" applyProtection="1">
      <x:protection locked="1" hidden="0"/>
    </x:xf>
    <x:xf numFmtId="204" fontId="47" fillId="0" borderId="0" applyNumberFormat="1" applyFill="1" applyBorder="0" applyAlignment="1" applyProtection="1">
      <x:protection locked="1" hidden="0"/>
    </x:xf>
    <x:xf numFmtId="0" fontId="38" fillId="0" borderId="14" applyNumberFormat="1" applyFill="1" applyBorder="1" applyAlignment="1" applyProtection="1">
      <x:protection locked="1" hidden="0"/>
    </x:xf>
    <x:xf numFmtId="4" fontId="38" fillId="0" borderId="0" applyNumberFormat="1" applyFill="1" applyBorder="0" applyAlignment="1" applyProtection="1">
      <x:protection locked="1" hidden="0"/>
    </x:xf>
    <x:xf numFmtId="4" fontId="38" fillId="18" borderId="0" applyNumberFormat="1" applyFill="0" applyBorder="0" applyAlignment="1" applyProtection="1">
      <x:protection locked="1" hidden="0"/>
    </x:xf>
    <x:xf numFmtId="0" fontId="32" fillId="0" borderId="14" applyNumberFormat="1" applyFill="1" applyBorder="1" applyAlignment="1" applyProtection="1">
      <x:protection locked="1" hidden="0"/>
    </x:xf>
    <x:xf numFmtId="0" fontId="77" fillId="0" borderId="26" applyNumberFormat="1" applyFill="1" applyBorder="1" applyAlignment="1" applyProtection="1">
      <x:protection locked="1" hidden="0"/>
    </x:xf>
    <x:xf numFmtId="3" fontId="47" fillId="0" borderId="16" applyNumberFormat="1" applyFill="1" applyBorder="1" applyAlignment="1" applyProtection="1">
      <x:protection locked="1" hidden="0"/>
    </x:xf>
    <x:xf numFmtId="3" fontId="37" fillId="0" borderId="19" applyNumberFormat="1" applyFill="1" applyBorder="1" applyAlignment="1" applyProtection="1">
      <x:protection locked="1" hidden="0"/>
    </x:xf>
    <x:xf numFmtId="4" fontId="37" fillId="0" borderId="19" applyNumberFormat="1" applyFill="1" applyBorder="1" applyAlignment="1" applyProtection="1">
      <x:protection locked="1" hidden="0"/>
    </x:xf>
    <x:xf numFmtId="4" fontId="37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32" fillId="0" borderId="24" applyNumberFormat="1" applyFill="1" applyBorder="1" applyAlignment="1" applyProtection="1">
      <x:protection locked="1" hidden="0"/>
    </x:xf>
    <x:xf numFmtId="0" fontId="44" fillId="0" borderId="27" applyNumberFormat="1" applyFill="1" applyBorder="1" applyAlignment="1" applyProtection="1">
      <x:protection locked="1" hidden="0"/>
    </x:xf>
    <x:xf numFmtId="0" fontId="77" fillId="0" borderId="22" applyNumberFormat="1" applyFill="1" applyBorder="1" applyAlignment="1" applyProtection="1">
      <x:protection locked="1" hidden="0"/>
    </x:xf>
    <x:xf numFmtId="3" fontId="37" fillId="0" borderId="22" applyNumberFormat="1" applyFill="1" applyBorder="1" applyAlignment="1" applyProtection="1">
      <x:protection locked="1" hidden="0"/>
    </x:xf>
    <x:xf numFmtId="4" fontId="37" fillId="0" borderId="22" applyNumberFormat="1" applyFill="1" applyBorder="1" applyAlignment="1" applyProtection="1">
      <x:protection locked="1" hidden="0"/>
    </x:xf>
    <x:xf numFmtId="4" fontId="37" fillId="0" borderId="24" applyNumberFormat="1" applyFill="1" applyBorder="1" applyAlignment="1" applyProtection="1">
      <x:protection locked="1" hidden="0"/>
    </x:xf>
    <x:xf numFmtId="0" fontId="38" fillId="0" borderId="15" applyNumberFormat="1" applyFill="1" applyBorder="1" applyAlignment="1" applyProtection="1">
      <x:protection locked="1" hidden="0"/>
    </x:xf>
    <x:xf numFmtId="0" fontId="38" fillId="0" borderId="21" applyNumberFormat="1" applyFill="1" applyBorder="1" applyAlignment="1" applyProtection="1">
      <x:protection locked="1" hidden="0"/>
    </x:xf>
    <x:xf numFmtId="0" fontId="57" fillId="0" borderId="17" applyNumberFormat="1" applyFill="1" applyBorder="1" applyAlignment="1" applyProtection="1">
      <x:protection locked="1" hidden="0"/>
    </x:xf>
    <x:xf numFmtId="49" fontId="37" fillId="0" borderId="17" applyNumberFormat="1" applyFill="1" applyBorder="1" applyAlignment="1" applyProtection="1">
      <x:protection locked="1" hidden="0"/>
    </x:xf>
    <x:xf numFmtId="0" fontId="32" fillId="0" borderId="17" applyNumberFormat="1" applyFill="1" applyBorder="1" applyAlignment="1" applyProtection="1">
      <x:protection locked="1" hidden="0"/>
    </x:xf>
    <x:xf numFmtId="0" fontId="47" fillId="0" borderId="17" applyNumberFormat="1" applyFill="1" applyBorder="1" applyAlignment="1" applyProtection="1">
      <x:protection locked="1" hidden="0"/>
    </x:xf>
    <x:xf numFmtId="3" fontId="37" fillId="0" borderId="17" applyNumberFormat="1" applyFill="1" applyBorder="1" applyAlignment="1" applyProtection="1">
      <x:protection locked="1" hidden="0"/>
    </x:xf>
    <x:xf numFmtId="4" fontId="37" fillId="0" borderId="17" applyNumberFormat="1" applyFill="1" applyBorder="1" applyAlignment="1" applyProtection="1">
      <x:protection locked="1" hidden="0"/>
    </x:xf>
    <x:xf numFmtId="0" fontId="38" fillId="0" borderId="18" applyNumberFormat="1" applyFill="1" applyBorder="1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49" fontId="39" fillId="0" borderId="0" applyNumberFormat="1" applyFill="1" applyBorder="0" applyAlignment="1" applyProtection="1">
      <x:protection locked="1" hidden="0"/>
    </x:xf>
    <x:xf numFmtId="0" fontId="47" fillId="0" borderId="0" applyNumberFormat="1" applyFill="1" applyBorder="0" applyAlignment="1" applyProtection="1">
      <x:protection locked="1" hidden="0"/>
    </x:xf>
    <x:xf numFmtId="3" fontId="37" fillId="0" borderId="0" applyNumberFormat="1" applyFill="1" applyBorder="0" applyAlignment="1" applyProtection="1">
      <x:protection locked="1" hidden="0"/>
    </x:xf>
    <x:xf numFmtId="0" fontId="38" fillId="0" borderId="22" applyNumberFormat="1" applyFill="1" applyBorder="1" applyAlignment="1" applyProtection="1">
      <x:protection locked="1" hidden="0"/>
    </x:xf>
    <x:xf numFmtId="49" fontId="39" fillId="0" borderId="24" applyNumberFormat="1" applyFill="1" applyBorder="1" applyAlignment="1" applyProtection="1">
      <x:protection locked="1" hidden="0"/>
    </x:xf>
    <x:xf numFmtId="0" fontId="47" fillId="0" borderId="24" applyNumberFormat="1" applyFill="1" applyBorder="1" applyAlignment="1" applyProtection="1">
      <x:protection locked="1" hidden="0"/>
    </x:xf>
    <x:xf numFmtId="3" fontId="37" fillId="0" borderId="24" applyNumberFormat="1" applyFill="1" applyBorder="1" applyAlignment="1" applyProtection="1">
      <x:protection locked="1" hidden="0"/>
    </x:xf>
    <x:xf numFmtId="0" fontId="37" fillId="0" borderId="19" applyNumberFormat="1" applyFill="1" applyBorder="1" applyAlignment="1" applyProtection="1">
      <x:protection locked="1" hidden="0"/>
    </x:xf>
    <x:xf numFmtId="4" fontId="43" fillId="0" borderId="0" applyNumberFormat="1" applyFill="1" applyBorder="0" applyAlignment="1" applyProtection="1">
      <x:protection locked="1" hidden="0"/>
    </x:xf>
    <x:xf numFmtId="4" fontId="43" fillId="0" borderId="14" applyNumberFormat="1" applyFill="1" applyBorder="1" applyAlignment="1" applyProtection="1">
      <x:protection locked="1" hidden="0"/>
    </x:xf>
    <x:xf numFmtId="204" fontId="43" fillId="0" borderId="0" applyNumberFormat="1" applyFill="1" applyBorder="0" applyAlignment="1" applyProtection="1">
      <x:protection locked="1" hidden="0"/>
    </x:xf>
    <x:xf numFmtId="204" fontId="43" fillId="0" borderId="14" applyNumberFormat="1" applyFill="1" applyBorder="1" applyAlignment="1" applyProtection="1">
      <x:protection locked="1" hidden="0"/>
    </x:xf>
    <x:xf numFmtId="4" fontId="43" fillId="0" borderId="24" applyNumberFormat="1" applyFill="1" applyBorder="1" applyAlignment="1" applyProtection="1">
      <x:protection locked="1" hidden="0"/>
    </x:xf>
    <x:xf numFmtId="0" fontId="37" fillId="0" borderId="14" applyNumberFormat="1" applyFill="1" applyBorder="1" applyAlignment="1" applyProtection="1">
      <x:protection locked="1" hidden="0"/>
    </x:xf>
    <x:xf numFmtId="9" fontId="37" fillId="0" borderId="0" applyNumberFormat="1" applyFill="1" applyBorder="0" applyAlignment="1" applyProtection="1">
      <x:protection locked="1" hidden="0"/>
    </x:xf>
    <x:xf numFmtId="0" fontId="37" fillId="0" borderId="21" applyNumberFormat="1" applyFill="1" applyBorder="1" applyAlignment="1" applyProtection="1">
      <x:protection locked="1" hidden="0"/>
    </x:xf>
    <x:xf numFmtId="0" fontId="37" fillId="0" borderId="17" applyNumberFormat="1" applyFill="1" applyBorder="1" applyAlignment="1" applyProtection="1">
      <x:protection locked="1" hidden="0"/>
    </x:xf>
    <x:xf numFmtId="0" fontId="53" fillId="0" borderId="17" applyNumberFormat="1" applyFill="1" applyBorder="1" applyAlignment="1" applyProtection="1">
      <x:protection locked="1" hidden="0"/>
    </x:xf>
    <x:xf numFmtId="0" fontId="37" fillId="0" borderId="18" applyNumberFormat="1" applyFill="1" applyBorder="1" applyAlignment="1" applyProtection="1">
      <x:protection locked="1" hidden="0"/>
    </x:xf>
    <x:xf numFmtId="0" fontId="37" fillId="0" borderId="22" applyNumberFormat="1" applyFill="1" applyBorder="1" applyAlignment="1" applyProtection="1">
      <x:protection locked="1" hidden="0"/>
    </x:xf>
    <x:xf numFmtId="0" fontId="37" fillId="0" borderId="24" applyNumberFormat="1" applyFill="1" applyBorder="1" applyAlignment="1" applyProtection="1">
      <x:protection locked="1" hidden="0"/>
    </x:xf>
    <x:xf numFmtId="0" fontId="43" fillId="0" borderId="24" applyNumberFormat="1" applyFill="1" applyBorder="1" applyAlignment="1" applyProtection="1">
      <x:protection locked="1" hidden="0"/>
    </x:xf>
    <x:xf numFmtId="0" fontId="37" fillId="0" borderId="15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</x:cellStyleXfs>
  <x:cellXfs count="315">
    <x:xf numFmtId="0" fontId="0" fillId="0" borderId="0" xfId="0">
      <x:alignment vertical="top"/>
    </x:xf>
    <x:xf numFmtId="0" fontId="38" fillId="0" borderId="0" xfId="0" applyFont="1" applyAlignment="1"/>
    <x:xf numFmtId="0" fontId="38" fillId="0" borderId="0" xfId="0" applyFont="1" applyAlignment="1">
      <x:alignment vertical="center"/>
    </x:xf>
    <x:xf numFmtId="14" fontId="38" fillId="0" borderId="0" xfId="0" applyNumberFormat="1" applyFont="1" applyAlignment="1">
      <x:alignment vertical="center"/>
    </x:xf>
    <x:xf numFmtId="4" fontId="38" fillId="0" borderId="0" xfId="0" applyNumberFormat="1" applyFont="1" applyAlignment="1">
      <x:alignment vertical="center"/>
    </x:xf>
    <x:xf numFmtId="0" fontId="43" fillId="0" borderId="0" xfId="0" applyFont="1" applyAlignment="1">
      <x:alignment vertical="center"/>
    </x:xf>
    <x:xf numFmtId="0" fontId="3" fillId="0" borderId="0" xfId="97" applyProtection="1">
      <x:protection locked="0"/>
    </x:xf>
    <x:xf numFmtId="0" fontId="44" fillId="0" borderId="0" xfId="0" applyFont="1" applyAlignment="1">
      <x:alignment vertical="center"/>
    </x:xf>
    <x:xf numFmtId="0" fontId="37" fillId="0" borderId="0" xfId="0" applyFont="1" applyAlignment="1"/>
    <x:xf numFmtId="0" fontId="37" fillId="0" borderId="0" xfId="0" applyFont="1" applyAlignment="1">
      <x:alignment horizontal="center"/>
    </x:xf>
    <x:xf numFmtId="0" fontId="37" fillId="0" borderId="0" xfId="0" applyFont="1" applyAlignment="1">
      <x:alignment horizontal="center" vertical="center"/>
    </x:xf>
    <x:xf numFmtId="0" fontId="37" fillId="0" borderId="0" xfId="0" applyFont="1" applyAlignment="1">
      <x:alignment horizontal="left"/>
    </x:xf>
    <x:xf numFmtId="4" fontId="37" fillId="0" borderId="0" xfId="0" applyNumberFormat="1" applyFont="1" applyAlignment="1"/>
    <x:xf numFmtId="4" fontId="37" fillId="0" borderId="0" xfId="0" applyNumberFormat="1" applyFont="1" applyAlignment="1">
      <x:alignment horizontal="center"/>
    </x:xf>
    <x:xf numFmtId="0" fontId="37" fillId="0" borderId="0" xfId="0" applyFont="1" applyAlignment="1">
      <x:alignment vertical="center"/>
    </x:xf>
    <x:xf numFmtId="0" fontId="45" fillId="0" borderId="0" xfId="0" applyFont="1" applyAlignment="1">
      <x:alignment horizontal="center" vertical="center"/>
    </x:xf>
    <x:xf numFmtId="0" fontId="41" fillId="0" borderId="0" xfId="0" applyFont="1" applyAlignment="1">
      <x:alignment vertical="center"/>
    </x:xf>
    <x:xf numFmtId="0" fontId="44" fillId="0" borderId="0" xfId="0" applyFont="1" applyAlignment="1"/>
    <x:xf numFmtId="0" fontId="47" fillId="0" borderId="19" xfId="0" applyFont="1" applyBorder="1" applyAlignment="1">
      <x:alignment horizontal="center" vertical="center"/>
    </x:xf>
    <x:xf numFmtId="0" fontId="44" fillId="0" borderId="21" xfId="0" applyFont="1" applyBorder="1" applyAlignment="1">
      <x:alignment vertical="center"/>
    </x:xf>
    <x:xf numFmtId="0" fontId="47" fillId="0" borderId="0" xfId="0" applyFont="1" applyAlignment="1">
      <x:alignment horizontal="center" vertical="center"/>
    </x:xf>
    <x:xf numFmtId="0" fontId="50" fillId="0" borderId="0" xfId="98" applyFont="1" applyAlignment="1">
      <x:alignment horizontal="centerContinuous" vertical="center"/>
    </x:xf>
    <x:xf numFmtId="0" fontId="51" fillId="0" borderId="0" xfId="98" applyFont="1" applyAlignment="1">
      <x:alignment horizontal="centerContinuous" vertical="center"/>
    </x:xf>
    <x:xf numFmtId="0" fontId="48" fillId="0" borderId="0" xfId="98" applyFont="1" applyAlignment="1">
      <x:alignment horizontal="centerContinuous" vertical="center"/>
    </x:xf>
    <x:xf numFmtId="0" fontId="49" fillId="0" borderId="0" xfId="98" applyFont="1" applyAlignment="1">
      <x:alignment horizontal="centerContinuous" vertical="center"/>
    </x:xf>
    <x:xf numFmtId="0" fontId="41" fillId="0" borderId="0" xfId="0" applyFont="1" applyAlignment="1">
      <x:alignment horizontal="right" vertical="center"/>
    </x:xf>
    <x:xf numFmtId="0" fontId="52" fillId="0" borderId="0" xfId="98" applyFont="1" applyAlignment="1">
      <x:alignment vertical="center"/>
    </x:xf>
    <x:xf numFmtId="0" fontId="51" fillId="0" borderId="0" xfId="98" applyFont="1" applyAlignment="1">
      <x:alignment vertical="center"/>
    </x:xf>
    <x:xf numFmtId="9" fontId="37" fillId="0" borderId="0" xfId="0" applyNumberFormat="1" applyFont="1" applyAlignment="1"/>
    <x:xf numFmtId="0" fontId="37" fillId="0" borderId="17" xfId="0" applyFont="1" applyBorder="1" applyAlignment="1">
      <x:alignment vertical="center"/>
    </x:xf>
    <x:xf numFmtId="204" fontId="43" fillId="0" borderId="14" xfId="88" applyNumberFormat="1" applyFont="1" applyBorder="1" applyAlignment="1"/>
    <x:xf numFmtId="4" fontId="43" fillId="0" borderId="14" xfId="0" applyNumberFormat="1" applyFont="1" applyBorder="1" applyAlignment="1"/>
    <x:xf numFmtId="0" fontId="38" fillId="0" borderId="17" xfId="0" applyFont="1" applyBorder="1" applyAlignment="1"/>
    <x:xf numFmtId="0" fontId="42" fillId="0" borderId="0" xfId="0" applyFont="1" applyAlignment="1">
      <x:alignment vertical="center"/>
    </x:xf>
    <x:xf numFmtId="0" fontId="44" fillId="0" borderId="24" xfId="0" applyFont="1" applyBorder="1" applyAlignment="1">
      <x:alignment vertical="center"/>
    </x:xf>
    <x:xf numFmtId="0" fontId="38" fillId="0" borderId="24" xfId="0" applyFont="1" applyBorder="1" applyAlignment="1">
      <x:alignment vertical="center"/>
    </x:xf>
    <x:xf numFmtId="0" fontId="38" fillId="0" borderId="15" xfId="0" applyFont="1" applyBorder="1" applyAlignment="1">
      <x:alignment vertical="center"/>
    </x:xf>
    <x:xf numFmtId="0" fontId="36" fillId="18" borderId="0" xfId="97" applyFont="1" applyFill="1" applyProtection="1">
      <x:protection locked="0"/>
    </x:xf>
    <x:xf numFmtId="1" fontId="44" fillId="0" borderId="0" xfId="0" applyNumberFormat="1" applyFont="1" applyAlignment="1">
      <x:alignment horizontal="left" vertical="center"/>
    </x:xf>
    <x:xf numFmtId="205" fontId="44" fillId="0" borderId="0" xfId="0" applyNumberFormat="1" applyFont="1" applyAlignment="1">
      <x:alignment horizontal="left" vertical="center"/>
    </x:xf>
    <x:xf numFmtId="0" fontId="43" fillId="0" borderId="14" xfId="0" applyFont="1" applyBorder="1" applyAlignment="1">
      <x:alignment horizontal="left" vertical="center"/>
    </x:xf>
    <x:xf numFmtId="14" fontId="40" fillId="0" borderId="14" xfId="0" applyNumberFormat="1" applyFont="1" applyBorder="1" applyAlignment="1">
      <x:alignment horizontal="left" vertical="center"/>
    </x:xf>
    <x:xf numFmtId="0" fontId="40" fillId="0" borderId="14" xfId="0" applyFont="1" applyBorder="1" applyAlignment="1">
      <x:alignment vertical="center"/>
    </x:xf>
    <x:xf numFmtId="14" fontId="38" fillId="0" borderId="15" xfId="0" applyNumberFormat="1" applyFont="1" applyBorder="1" applyAlignment="1">
      <x:alignment horizontal="left" vertical="center"/>
    </x:xf>
    <x:xf numFmtId="3" fontId="37" fillId="0" borderId="19" xfId="0" applyNumberFormat="1" applyFont="1" applyBorder="1" applyAlignment="1">
      <x:alignment horizontal="center"/>
    </x:xf>
    <x:xf numFmtId="0" fontId="37" fillId="0" borderId="18" xfId="0" applyFont="1" applyBorder="1" applyAlignment="1">
      <x:alignment vertical="center"/>
    </x:xf>
    <x:xf numFmtId="0" fontId="37" fillId="0" borderId="14" xfId="0" applyFont="1" applyBorder="1" applyAlignment="1">
      <x:alignment vertical="center"/>
    </x:xf>
    <x:xf numFmtId="0" fontId="37" fillId="0" borderId="15" xfId="0" applyFont="1" applyBorder="1" applyAlignment="1"/>
    <x:xf numFmtId="4" fontId="37" fillId="0" borderId="19" xfId="0" applyNumberFormat="1" applyFont="1" applyBorder="1" applyAlignment="1">
      <x:alignment horizontal="right"/>
    </x:xf>
    <x:xf numFmtId="0" fontId="38" fillId="0" borderId="14" xfId="0" applyFont="1" applyBorder="1" applyAlignment="1">
      <x:alignment vertical="center"/>
    </x:xf>
    <x:xf numFmtId="4" fontId="37" fillId="0" borderId="22" xfId="0" applyNumberFormat="1" applyFont="1" applyBorder="1" applyAlignment="1">
      <x:alignment horizontal="right"/>
    </x:xf>
    <x:xf numFmtId="0" fontId="44" fillId="0" borderId="17" xfId="0" applyFont="1" applyBorder="1" applyAlignment="1"/>
    <x:xf numFmtId="0" fontId="50" fillId="0" borderId="17" xfId="98" applyFont="1" applyBorder="1" applyAlignment="1">
      <x:alignment horizontal="centerContinuous" vertical="center"/>
    </x:xf>
    <x:xf numFmtId="0" fontId="3" fillId="0" borderId="17" xfId="97" applyBorder="1" applyProtection="1">
      <x:protection locked="0"/>
    </x:xf>
    <x:xf numFmtId="0" fontId="37" fillId="0" borderId="17" xfId="0" applyFont="1" applyBorder="1">
      <x:alignment vertical="top"/>
    </x:xf>
    <x:xf numFmtId="0" fontId="53" fillId="0" borderId="17" xfId="0" applyFont="1" applyBorder="1" applyAlignment="1">
      <x:alignment vertical="center"/>
    </x:xf>
    <x:xf numFmtId="0" fontId="37" fillId="0" borderId="19" xfId="0" applyFont="1" applyBorder="1" applyAlignment="1"/>
    <x:xf numFmtId="0" fontId="37" fillId="0" borderId="24" xfId="0" applyFont="1" applyBorder="1" applyAlignment="1">
      <x:alignment vertical="center"/>
    </x:xf>
    <x:xf numFmtId="0" fontId="43" fillId="0" borderId="24" xfId="0" applyFont="1" applyBorder="1" applyAlignment="1"/>
    <x:xf numFmtId="4" fontId="38" fillId="18" borderId="0" xfId="0" applyNumberFormat="1" applyFont="1" applyFill="1" applyAlignment="1">
      <x:alignment vertical="center"/>
    </x:xf>
    <x:xf numFmtId="0" fontId="44" fillId="0" borderId="0" xfId="0" applyFont="1" applyAlignment="1">
      <x:alignment horizontal="left" vertical="center"/>
    </x:xf>
    <x:xf numFmtId="0" fontId="43" fillId="0" borderId="0" xfId="0" applyFont="1" applyAlignment="1">
      <x:alignment horizontal="left" vertical="center"/>
    </x:xf>
    <x:xf numFmtId="0" fontId="38" fillId="0" borderId="19" xfId="0" applyFont="1" applyBorder="1" applyAlignment="1"/>
    <x:xf numFmtId="0" fontId="44" fillId="0" borderId="0" xfId="0" applyFont="1" applyAlignment="1">
      <x:alignment horizontal="left"/>
    </x:xf>
    <x:xf numFmtId="0" fontId="42" fillId="0" borderId="0" xfId="0" applyFont="1" applyAlignment="1">
      <x:alignment horizontal="left" vertical="center"/>
    </x:xf>
    <x:xf numFmtId="14" fontId="44" fillId="0" borderId="17" xfId="0" applyNumberFormat="1" applyFont="1" applyBorder="1" applyAlignment="1">
      <x:alignment horizontal="left" vertical="center"/>
    </x:xf>
    <x:xf numFmtId="0" fontId="43" fillId="0" borderId="18" xfId="0" applyFont="1" applyBorder="1" applyAlignment="1">
      <x:alignment horizontal="left" vertical="center"/>
    </x:xf>
    <x:xf numFmtId="4" fontId="37" fillId="0" borderId="0" xfId="0" applyNumberFormat="1" applyFont="1" applyAlignment="1">
      <x:alignment horizontal="right"/>
    </x:xf>
    <x:xf numFmtId="4" fontId="37" fillId="0" borderId="24" xfId="0" applyNumberFormat="1" applyFont="1" applyBorder="1" applyAlignment="1">
      <x:alignment horizontal="right"/>
    </x:xf>
    <x:xf numFmtId="0" fontId="47" fillId="0" borderId="16" xfId="0" applyFont="1" applyBorder="1" applyAlignment="1">
      <x:alignment horizontal="center" vertical="center"/>
    </x:xf>
    <x:xf numFmtId="0" fontId="44" fillId="0" borderId="17" xfId="0" applyFont="1" applyBorder="1" applyAlignment="1">
      <x:alignment vertical="center"/>
    </x:xf>
    <x:xf numFmtId="0" fontId="46" fillId="0" borderId="0" xfId="0" applyFont="1" applyAlignment="1">
      <x:alignment vertical="center"/>
    </x:xf>
    <x:xf numFmtId="0" fontId="49" fillId="0" borderId="21" xfId="98" applyFont="1" applyBorder="1" applyAlignment="1">
      <x:alignment horizontal="centerContinuous" vertical="center"/>
    </x:xf>
    <x:xf numFmtId="0" fontId="38" fillId="0" borderId="19" xfId="0" applyFont="1" applyBorder="1" applyAlignment="1">
      <x:alignment vertical="center"/>
    </x:xf>
    <x:xf numFmtId="0" fontId="44" fillId="0" borderId="17" xfId="0" applyFont="1" applyBorder="1" applyAlignment="1">
      <x:alignment horizontal="center" vertical="center"/>
    </x:xf>
    <x:xf numFmtId="0" fontId="47" fillId="0" borderId="14" xfId="0" applyFont="1" applyBorder="1" applyAlignment="1">
      <x:alignment horizontal="left" vertical="center"/>
    </x:xf>
    <x:xf numFmtId="0" fontId="32" fillId="0" borderId="0" xfId="0" applyFont="1" applyAlignment="1">
      <x:alignment horizontal="center" vertical="center" shrinkToFit="1"/>
    </x:xf>
    <x:xf numFmtId="0" fontId="37" fillId="0" borderId="21" xfId="0" applyFont="1" applyBorder="1" applyAlignment="1">
      <x:alignment vertical="center"/>
    </x:xf>
    <x:xf numFmtId="0" fontId="37" fillId="0" borderId="19" xfId="0" applyFont="1" applyBorder="1" applyAlignment="1">
      <x:alignment vertical="center"/>
    </x:xf>
    <x:xf numFmtId="0" fontId="37" fillId="0" borderId="22" xfId="0" applyFont="1" applyBorder="1" applyAlignment="1"/>
    <x:xf numFmtId="0" fontId="55" fillId="18" borderId="0" xfId="97" applyFont="1" applyFill="1" applyAlignment="1">
      <x:alignment horizontal="left" vertical="center"/>
    </x:xf>
    <x:xf numFmtId="0" fontId="44" fillId="0" borderId="22" xfId="0" applyFont="1" applyBorder="1" applyAlignment="1">
      <x:alignment horizontal="center" vertical="center" shrinkToFit="1"/>
    </x:xf>
    <x:xf numFmtId="3" fontId="37" fillId="0" borderId="22" xfId="0" applyNumberFormat="1" applyFont="1" applyBorder="1" applyAlignment="1">
      <x:alignment horizontal="center"/>
    </x:xf>
    <x:xf numFmtId="0" fontId="38" fillId="0" borderId="21" xfId="0" applyFont="1" applyBorder="1" applyAlignment="1">
      <x:alignment vertical="center"/>
    </x:xf>
    <x:xf numFmtId="0" fontId="57" fillId="0" borderId="17" xfId="0" applyFont="1" applyBorder="1" applyAlignment="1">
      <x:alignment vertical="center"/>
    </x:xf>
    <x:xf numFmtId="49" fontId="37" fillId="0" borderId="17" xfId="0" applyNumberFormat="1" applyFont="1" applyBorder="1" applyAlignment="1">
      <x:alignment horizontal="left" vertical="center"/>
    </x:xf>
    <x:xf numFmtId="0" fontId="32" fillId="0" borderId="17" xfId="0" applyFont="1" applyBorder="1" applyAlignment="1">
      <x:alignment vertical="center" shrinkToFit="1"/>
    </x:xf>
    <x:xf numFmtId="0" fontId="44" fillId="0" borderId="17" xfId="0" applyFont="1" applyBorder="1" applyAlignment="1">
      <x:alignment horizontal="center" vertical="center" shrinkToFit="1"/>
    </x:xf>
    <x:xf numFmtId="0" fontId="47" fillId="0" borderId="17" xfId="0" applyFont="1" applyBorder="1" applyAlignment="1">
      <x:alignment horizontal="center" vertical="center"/>
    </x:xf>
    <x:xf numFmtId="3" fontId="37" fillId="0" borderId="17" xfId="0" applyNumberFormat="1" applyFont="1" applyBorder="1" applyAlignment="1">
      <x:alignment horizontal="center"/>
    </x:xf>
    <x:xf numFmtId="4" fontId="37" fillId="0" borderId="17" xfId="0" applyNumberFormat="1" applyFont="1" applyBorder="1" applyAlignment="1">
      <x:alignment horizontal="right"/>
    </x:xf>
    <x:xf numFmtId="0" fontId="38" fillId="0" borderId="18" xfId="0" applyFont="1" applyBorder="1" applyAlignment="1">
      <x:alignment vertical="center"/>
    </x:xf>
    <x:xf numFmtId="0" fontId="39" fillId="0" borderId="0" xfId="0" applyFont="1" applyAlignment="1">
      <x:alignment horizontal="center" vertical="center"/>
    </x:xf>
    <x:xf numFmtId="49" fontId="39" fillId="0" borderId="0" xfId="0" applyNumberFormat="1" applyFont="1" applyAlignment="1">
      <x:alignment horizontal="left" vertical="center"/>
    </x:xf>
    <x:xf numFmtId="0" fontId="32" fillId="0" borderId="0" xfId="0" applyFont="1" applyAlignment="1">
      <x:alignment vertical="center" shrinkToFit="1"/>
    </x:xf>
    <x:xf numFmtId="0" fontId="44" fillId="0" borderId="0" xfId="0" applyFont="1" applyAlignment="1">
      <x:alignment horizontal="center" vertical="center" shrinkToFit="1"/>
    </x:xf>
    <x:xf numFmtId="3" fontId="37" fillId="0" borderId="0" xfId="0" applyNumberFormat="1" applyFont="1" applyAlignment="1">
      <x:alignment horizontal="center"/>
    </x:xf>
    <x:xf numFmtId="0" fontId="38" fillId="0" borderId="22" xfId="0" applyFont="1" applyBorder="1" applyAlignment="1">
      <x:alignment vertical="center"/>
    </x:xf>
    <x:xf numFmtId="0" fontId="32" fillId="0" borderId="24" xfId="0" applyFont="1" applyBorder="1" applyAlignment="1">
      <x:alignment horizontal="center" vertical="center" shrinkToFit="1"/>
    </x:xf>
    <x:xf numFmtId="0" fontId="44" fillId="0" borderId="24" xfId="0" applyFont="1" applyBorder="1" applyAlignment="1">
      <x:alignment horizontal="center" vertical="center" shrinkToFit="1"/>
    </x:xf>
    <x:xf numFmtId="0" fontId="32" fillId="0" borderId="24" xfId="0" applyFont="1" applyBorder="1" applyAlignment="1">
      <x:alignment vertical="center" shrinkToFit="1"/>
    </x:xf>
    <x:xf numFmtId="0" fontId="47" fillId="0" borderId="24" xfId="0" applyFont="1" applyBorder="1" applyAlignment="1">
      <x:alignment horizontal="center" vertical="center"/>
    </x:xf>
    <x:xf numFmtId="3" fontId="37" fillId="0" borderId="24" xfId="0" applyNumberFormat="1" applyFont="1" applyBorder="1" applyAlignment="1">
      <x:alignment horizontal="center"/>
    </x:xf>
    <x:xf numFmtId="0" fontId="52" fillId="18" borderId="0" xfId="98" applyFont="1" applyFill="1" applyAlignment="1">
      <x:alignment vertical="center"/>
    </x:xf>
    <x:xf numFmtId="49" fontId="39" fillId="0" borderId="24" xfId="0" applyNumberFormat="1" applyFont="1" applyBorder="1" applyAlignment="1">
      <x:alignment horizontal="left" vertical="center"/>
    </x:xf>
    <x:xf numFmtId="0" fontId="59" fillId="0" borderId="0" xfId="42" applyFont="1" applyAlignment="1">
      <x:alignment horizontal="center"/>
    </x:xf>
    <x:xf numFmtId="0" fontId="60" fillId="0" borderId="0" xfId="42" applyFont="1" applyAlignment="1">
      <x:alignment horizontal="center"/>
    </x:xf>
    <x:xf numFmtId="0" fontId="59" fillId="0" borderId="0" xfId="42" applyFont="1"/>
    <x:xf numFmtId="0" fontId="63" fillId="0" borderId="0" xfId="42" applyFont="1" applyAlignment="1">
      <x:alignment horizontal="center" vertical="center"/>
    </x:xf>
    <x:xf numFmtId="0" fontId="59" fillId="0" borderId="0" xfId="42" applyFont="1" applyAlignment="1">
      <x:alignment horizontal="right"/>
    </x:xf>
    <x:xf numFmtId="0" fontId="59" fillId="0" borderId="0" xfId="42" applyFont="1" applyAlignment="1">
      <x:alignment horizontal="left"/>
    </x:xf>
    <x:xf numFmtId="0" fontId="59" fillId="18" borderId="0" xfId="42" applyFont="1" applyFill="1" applyAlignment="1">
      <x:alignment horizontal="center"/>
    </x:xf>
    <x:xf numFmtId="204" fontId="64" fillId="0" borderId="13" xfId="0" applyNumberFormat="1" applyFont="1" applyBorder="1" applyAlignment="1"/>
    <x:xf numFmtId="0" fontId="60" fillId="0" borderId="13" xfId="42" applyFont="1" applyBorder="1" applyAlignment="1">
      <x:alignment horizontal="center" vertical="center" wrapText="1"/>
    </x:xf>
    <x:xf numFmtId="0" fontId="60" fillId="0" borderId="13" xfId="42" applyFont="1" applyBorder="1" applyAlignment="1">
      <x:alignment horizontal="right" vertical="center" wrapText="1"/>
    </x:xf>
    <x:xf numFmtId="0" fontId="60" fillId="0" borderId="13" xfId="42" applyFont="1" applyBorder="1" applyAlignment="1">
      <x:alignment horizontal="left" vertical="center" wrapText="1"/>
    </x:xf>
    <x:xf numFmtId="4" fontId="60" fillId="18" borderId="13" xfId="42" applyNumberFormat="1" applyFont="1" applyFill="1" applyBorder="1" applyAlignment="1">
      <x:alignment horizontal="center" vertical="center" wrapText="1"/>
    </x:xf>
    <x:xf numFmtId="0" fontId="60" fillId="0" borderId="0" xfId="42" applyFont="1" applyAlignment="1">
      <x:alignment horizontal="center" vertical="center" wrapText="1"/>
    </x:xf>
    <x:xf numFmtId="0" fontId="65" fillId="0" borderId="13" xfId="42" applyFont="1" applyBorder="1" applyAlignment="1">
      <x:alignment horizontal="center"/>
    </x:xf>
    <x:xf numFmtId="0" fontId="55" fillId="18" borderId="13" xfId="97" applyFont="1" applyFill="1" applyBorder="1" applyAlignment="1">
      <x:alignment horizontal="left"/>
    </x:xf>
    <x:xf numFmtId="0" fontId="65" fillId="0" borderId="13" xfId="42" applyFont="1" applyBorder="1"/>
    <x:xf numFmtId="14" fontId="65" fillId="0" borderId="13" xfId="42" applyNumberFormat="1" applyFont="1" applyBorder="1" applyAlignment="1">
      <x:alignment horizontal="center"/>
    </x:xf>
    <x:xf numFmtId="0" fontId="65" fillId="0" borderId="13" xfId="42" applyFont="1" applyBorder="1" applyAlignment="1">
      <x:alignment horizontal="right"/>
    </x:xf>
    <x:xf numFmtId="0" fontId="65" fillId="0" borderId="13" xfId="42" applyFont="1" applyBorder="1" applyAlignment="1">
      <x:alignment horizontal="left"/>
    </x:xf>
    <x:xf numFmtId="4" fontId="66" fillId="28" borderId="13" xfId="0" applyNumberFormat="1" applyFont="1" applyFill="1" applyBorder="1" applyAlignment="1">
      <x:alignment horizontal="center"/>
    </x:xf>
    <x:xf numFmtId="0" fontId="65" fillId="0" borderId="0" xfId="42" applyFont="1"/>
    <x:xf numFmtId="0" fontId="65" fillId="18" borderId="13" xfId="102" applyFont="1" applyFill="1" applyBorder="1"/>
    <x:xf numFmtId="4" fontId="37" fillId="0" borderId="0" xfId="0" applyNumberFormat="1" applyFont="1" applyAlignment="1">
      <x:alignment vertical="center"/>
    </x:xf>
    <x:xf numFmtId="0" fontId="61" fillId="27" borderId="0" xfId="0" applyFont="1" applyFill="1" applyAlignment="1">
      <x:alignment horizontal="center"/>
    </x:xf>
    <x:xf numFmtId="207" fontId="62" fillId="0" borderId="0" xfId="42" applyNumberFormat="1" applyFont="1" applyAlignment="1">
      <x:alignment horizontal="center" vertical="center"/>
    </x:xf>
    <x:xf numFmtId="4" fontId="66" fillId="18" borderId="13" xfId="0" applyNumberFormat="1" applyFont="1" applyFill="1" applyBorder="1" applyAlignment="1">
      <x:alignment horizontal="center"/>
    </x:xf>
    <x:xf numFmtId="0" fontId="36" fillId="24" borderId="0" xfId="97" applyFont="1" applyFill="1" applyProtection="1">
      <x:protection locked="0"/>
    </x:xf>
    <x:xf numFmtId="0" fontId="0" fillId="25" borderId="13" xfId="97" applyFont="1" applyFill="1" applyBorder="1" applyProtection="1">
      <x:protection locked="0"/>
    </x:xf>
    <x:xf numFmtId="189" fontId="0" fillId="24" borderId="0" xfId="91" quotePrefix="1" applyFont="1" applyFill="1" applyBorder="1" applyProtection="1"/>
    <x:xf numFmtId="189" fontId="0" fillId="18" borderId="0" xfId="91" quotePrefix="1" applyFont="1" applyFill="1" applyBorder="1" applyProtection="1"/>
    <x:xf numFmtId="0" fontId="36" fillId="0" borderId="0" xfId="97" applyFont="1" applyAlignment="1">
      <x:alignment horizontal="center"/>
    </x:xf>
    <x:xf numFmtId="0" fontId="55" fillId="0" borderId="0" xfId="97" applyFont="1" applyAlignment="1">
      <x:alignment horizontal="left" vertical="center"/>
    </x:xf>
    <x:xf numFmtId="0" fontId="36" fillId="18" borderId="0" xfId="97" applyFont="1" applyFill="1"/>
    <x:xf numFmtId="0" fontId="36" fillId="0" borderId="0" xfId="97" applyFont="1"/>
    <x:xf numFmtId="0" fontId="0" fillId="18" borderId="0" xfId="97" applyFont="1" applyFill="1"/>
    <x:xf numFmtId="0" fontId="36" fillId="0" borderId="0" xfId="100" applyFont="1"/>
    <x:xf numFmtId="0" fontId="0" fillId="24" borderId="0" xfId="97" applyFont="1" applyFill="1"/>
    <x:xf numFmtId="0" fontId="0" fillId="0" borderId="0" xfId="97" applyFont="1"/>
    <x:xf numFmtId="0" fontId="36" fillId="18" borderId="0" xfId="100" applyFont="1" applyFill="1"/>
    <x:xf numFmtId="0" fontId="36" fillId="0" borderId="0" xfId="97" applyFont="1" applyProtection="1">
      <x:protection locked="0"/>
    </x:xf>
    <x:xf numFmtId="0" fontId="54" fillId="18" borderId="0" xfId="97" applyFont="1" applyFill="1" applyAlignment="1">
      <x:alignment horizontal="left" vertical="center"/>
    </x:xf>
    <x:xf numFmtId="0" fontId="0" fillId="23" borderId="0" xfId="97" applyFont="1" applyFill="1"/>
    <x:xf numFmtId="0" fontId="36" fillId="0" borderId="0" xfId="0" applyFont="1" applyAlignment="1"/>
    <x:xf numFmtId="0" fontId="54" fillId="18" borderId="23" xfId="97" applyFont="1" applyFill="1" applyBorder="1" applyAlignment="1">
      <x:alignment horizontal="left" vertical="center"/>
    </x:xf>
    <x:xf numFmtId="0" fontId="0" fillId="18" borderId="0" xfId="0" applyFill="1" applyAlignment="1"/>
    <x:xf numFmtId="0" fontId="33" fillId="0" borderId="0" xfId="97" applyFont="1" applyAlignment="1" applyProtection="1">
      <x:alignment horizontal="left"/>
      <x:protection locked="0"/>
    </x:xf>
    <x:xf numFmtId="0" fontId="34" fillId="0" borderId="0" xfId="97" applyFont="1" applyProtection="1">
      <x:protection locked="0"/>
    </x:xf>
    <x:xf numFmtId="0" fontId="36" fillId="0" borderId="0" xfId="97" applyFont="1" applyAlignment="1" applyProtection="1">
      <x:alignment horizontal="center"/>
      <x:protection locked="0"/>
    </x:xf>
    <x:xf numFmtId="0" fontId="0" fillId="0" borderId="0" xfId="97" applyFont="1" applyAlignment="1" applyProtection="1">
      <x:alignment horizontal="left"/>
      <x:protection locked="0"/>
    </x:xf>
    <x:xf numFmtId="0" fontId="0" fillId="0" borderId="0" xfId="0" applyAlignment="1"/>
    <x:xf numFmtId="0" fontId="0" fillId="0" borderId="0" xfId="97" applyFont="1" applyAlignment="1">
      <x:alignment vertical="center"/>
    </x:xf>
    <x:xf numFmtId="0" fontId="0" fillId="0" borderId="0" xfId="0" applyAlignment="1">
      <x:alignment vertical="center"/>
    </x:xf>
    <x:xf numFmtId="0" fontId="55" fillId="24" borderId="0" xfId="97" applyFont="1" applyFill="1" applyAlignment="1">
      <x:alignment horizontal="left" vertical="center"/>
    </x:xf>
    <x:xf numFmtId="0" fontId="36" fillId="24" borderId="0" xfId="97" applyFont="1" applyFill="1"/>
    <x:xf numFmtId="0" fontId="0" fillId="26" borderId="0" xfId="97" applyFont="1" applyFill="1"/>
    <x:xf numFmtId="0" fontId="55" fillId="23" borderId="0" xfId="97" applyFont="1" applyFill="1" applyAlignment="1">
      <x:alignment horizontal="left" vertical="center"/>
    </x:xf>
    <x:xf numFmtId="0" fontId="0" fillId="24" borderId="0" xfId="97" applyFont="1" applyFill="1" applyAlignment="1">
      <x:alignment vertical="center"/>
    </x:xf>
    <x:xf numFmtId="0" fontId="72" fillId="25" borderId="13" xfId="0" applyFont="1" applyFill="1" applyBorder="1" applyAlignment="1">
      <x:alignment horizontal="center" vertical="center"/>
    </x:xf>
    <x:xf numFmtId="0" fontId="58" fillId="24" borderId="13" xfId="0" applyFont="1" applyFill="1" applyBorder="1" applyAlignment="1">
      <x:alignment horizontal="center" vertical="center"/>
    </x:xf>
    <x:xf numFmtId="0" fontId="33" fillId="0" borderId="0" xfId="97" applyFont="1" applyAlignment="1">
      <x:alignment horizontal="center"/>
    </x:xf>
    <x:xf numFmtId="0" fontId="56" fillId="0" borderId="0" xfId="97" applyFont="1" applyAlignment="1">
      <x:alignment horizontal="center"/>
    </x:xf>
    <x:xf numFmtId="0" fontId="35" fillId="0" borderId="0" xfId="97" applyFont="1" applyAlignment="1">
      <x:alignment horizontal="center"/>
    </x:xf>
    <x:xf numFmtId="189" fontId="35" fillId="0" borderId="0" xfId="91" applyFont="1" applyAlignment="1" applyProtection="1">
      <x:alignment horizontal="center"/>
    </x:xf>
    <x:xf numFmtId="0" fontId="34" fillId="0" borderId="0" xfId="97" applyFont="1" applyAlignment="1">
      <x:alignment horizontal="center"/>
    </x:xf>
    <x:xf numFmtId="0" fontId="67" fillId="0" borderId="0" xfId="97" applyFont="1" applyAlignment="1">
      <x:alignment horizontal="center"/>
    </x:xf>
    <x:xf numFmtId="0" fontId="36" fillId="22" borderId="0" xfId="97" applyFont="1" applyFill="1" applyAlignment="1">
      <x:alignment horizontal="center"/>
    </x:xf>
    <x:xf numFmtId="0" fontId="34" fillId="26" borderId="0" xfId="97" applyFont="1" applyFill="1" applyAlignment="1">
      <x:alignment horizontal="center"/>
    </x:xf>
    <x:xf numFmtId="0" fontId="35" fillId="0" borderId="0" xfId="97" applyFont="1" applyAlignment="1" applyProtection="1">
      <x:alignment horizontal="center"/>
      <x:protection locked="0"/>
    </x:xf>
    <x:xf numFmtId="0" fontId="36" fillId="30" borderId="0" xfId="100" applyFont="1" applyFill="1"/>
    <x:xf numFmtId="0" fontId="0" fillId="0" borderId="0" xfId="0" applyAlignment="1">
      <x:alignment horizontal="center" vertical="top"/>
    </x:xf>
    <x:xf numFmtId="0" fontId="56" fillId="0" borderId="13" xfId="0" applyFont="1" applyBorder="1" applyAlignment="1"/>
    <x:xf numFmtId="0" fontId="56" fillId="0" borderId="13" xfId="0" applyFont="1" applyBorder="1" applyAlignment="1">
      <x:alignment horizontal="center"/>
    </x:xf>
    <x:xf numFmtId="0" fontId="56" fillId="0" borderId="0" xfId="0" applyFont="1" applyAlignment="1"/>
    <x:xf numFmtId="0" fontId="56" fillId="0" borderId="0" xfId="0" applyFont="1" applyAlignment="1">
      <x:alignment horizontal="center"/>
    </x:xf>
    <x:xf numFmtId="0" fontId="56" fillId="30" borderId="13" xfId="0" applyFont="1" applyFill="1" applyBorder="1" applyAlignment="1"/>
    <x:xf numFmtId="0" fontId="0" fillId="0" borderId="13" xfId="0" applyBorder="1">
      <x:alignment vertical="top"/>
    </x:xf>
    <x:xf numFmtId="189" fontId="0" fillId="0" borderId="0" xfId="91" quotePrefix="1" applyFont="1" applyFill="1" applyBorder="1" applyProtection="1"/>
    <x:xf numFmtId="0" fontId="55" fillId="22" borderId="0" xfId="97" applyFont="1" applyFill="1" applyAlignment="1">
      <x:alignment horizontal="left" vertical="center"/>
    </x:xf>
    <x:xf numFmtId="0" fontId="55" fillId="26" borderId="0" xfId="97" applyFont="1" applyFill="1" applyAlignment="1">
      <x:alignment horizontal="left" vertical="center"/>
    </x:xf>
    <x:xf numFmtId="0" fontId="74" fillId="18" borderId="0" xfId="97" applyFont="1" applyFill="1" applyAlignment="1">
      <x:alignment horizontal="left" vertical="center"/>
    </x:xf>
    <x:xf numFmtId="43" fontId="58" fillId="18" borderId="0" xfId="88" applyFont="1" applyFill="1" applyBorder="1"/>
    <x:xf numFmtId="0" fontId="36" fillId="24" borderId="0" xfId="97" applyFont="1" applyFill="1" applyAlignment="1">
      <x:alignment horizontal="center"/>
    </x:xf>
    <x:xf numFmtId="43" fontId="58" fillId="0" borderId="0" xfId="88" applyFont="1" applyBorder="1"/>
    <x:xf numFmtId="189" fontId="0" fillId="25" borderId="0" xfId="91" quotePrefix="1" applyFont="1" applyFill="1" applyBorder="1" applyProtection="1"/>
    <x:xf numFmtId="189" fontId="0" fillId="18" borderId="0" xfId="91" quotePrefix="1" applyFont="1" applyFill="1" applyBorder="1" applyAlignment="1" applyProtection="1">
      <x:alignment horizontal="left"/>
    </x:xf>
    <x:xf numFmtId="206" fontId="0" fillId="0" borderId="0" xfId="97" applyNumberFormat="1" applyFont="1" applyAlignment="1">
      <x:alignment horizontal="center"/>
    </x:xf>
    <x:xf numFmtId="0" fontId="70" fillId="30" borderId="13" xfId="97" applyFont="1" applyFill="1" applyBorder="1" applyAlignment="1">
      <x:alignment horizontal="center" vertical="center"/>
    </x:xf>
    <x:xf numFmtId="207" fontId="71" fillId="18" borderId="13" xfId="97" applyNumberFormat="1" applyFont="1" applyFill="1" applyBorder="1" applyAlignment="1">
      <x:alignment horizontal="center" vertical="center"/>
    </x:xf>
    <x:xf numFmtId="0" fontId="69" fillId="0" borderId="13" xfId="97" applyFont="1" applyBorder="1" applyAlignment="1">
      <x:alignment vertical="center"/>
    </x:xf>
    <x:xf numFmtId="0" fontId="69" fillId="0" borderId="13" xfId="97" applyFont="1" applyBorder="1" applyAlignment="1">
      <x:alignment horizontal="center" vertical="center"/>
    </x:xf>
    <x:xf numFmtId="189" fontId="69" fillId="0" borderId="13" xfId="91" applyFont="1" applyFill="1" applyBorder="1" applyAlignment="1" applyProtection="1">
      <x:alignment vertical="center"/>
    </x:xf>
    <x:xf numFmtId="0" fontId="69" fillId="0" borderId="0" xfId="97" applyFont="1" applyAlignment="1">
      <x:alignment horizontal="center" vertical="center"/>
    </x:xf>
    <x:xf numFmtId="0" fontId="69" fillId="0" borderId="0" xfId="97" applyFont="1" applyAlignment="1" applyProtection="1">
      <x:alignment vertical="center"/>
      <x:protection locked="0"/>
    </x:xf>
    <x:xf numFmtId="0" fontId="36" fillId="30" borderId="0" xfId="100" quotePrefix="1" applyFont="1" applyFill="1"/>
    <x:xf numFmtId="0" fontId="76" fillId="0" borderId="0" xfId="0" applyFont="1" applyAlignment="1">
      <x:alignment vertical="center"/>
    </x:xf>
    <x:xf numFmtId="0" fontId="44" fillId="0" borderId="19" xfId="0" applyFont="1" applyBorder="1" applyAlignment="1">
      <x:alignment horizontal="center" vertical="center"/>
    </x:xf>
    <x:xf numFmtId="14" fontId="44" fillId="0" borderId="19" xfId="0" applyNumberFormat="1" applyFont="1" applyBorder="1" applyAlignment="1">
      <x:alignment horizontal="center" vertical="center"/>
    </x:xf>
    <x:xf numFmtId="14" fontId="44" fillId="0" borderId="0" xfId="0" applyNumberFormat="1" applyFont="1" applyAlignment="1">
      <x:alignment horizontal="center" vertical="center"/>
    </x:xf>
    <x:xf numFmtId="14" fontId="44" fillId="0" borderId="14" xfId="0" applyNumberFormat="1" applyFont="1" applyBorder="1" applyAlignment="1">
      <x:alignment horizontal="left" vertical="center"/>
    </x:xf>
    <x:xf numFmtId="0" fontId="76" fillId="0" borderId="13" xfId="0" applyFont="1" applyBorder="1" applyAlignment="1">
      <x:alignment horizontal="center"/>
    </x:xf>
    <x:xf numFmtId="0" fontId="77" fillId="0" borderId="19" xfId="0" applyFont="1" applyBorder="1" applyAlignment="1">
      <x:alignment horizontal="center" vertical="center"/>
    </x:xf>
    <x:xf numFmtId="0" fontId="77" fillId="0" borderId="22" xfId="0" applyFont="1" applyBorder="1" applyAlignment="1">
      <x:alignment horizontal="center" vertical="center"/>
    </x:xf>
    <x:xf numFmtId="0" fontId="76" fillId="0" borderId="25" xfId="0" applyFont="1" applyBorder="1" applyAlignment="1">
      <x:alignment horizontal="center"/>
    </x:xf>
    <x:xf numFmtId="49" fontId="44" fillId="0" borderId="17" xfId="0" applyNumberFormat="1" applyFont="1" applyBorder="1" applyAlignment="1">
      <x:alignment horizontal="center"/>
    </x:xf>
    <x:xf numFmtId="0" fontId="44" fillId="0" borderId="25" xfId="0" applyFont="1" applyBorder="1" applyAlignment="1">
      <x:alignment vertical="center"/>
    </x:xf>
    <x:xf numFmtId="0" fontId="77" fillId="0" borderId="26" xfId="0" applyFont="1" applyBorder="1" applyAlignment="1">
      <x:alignment horizontal="center" vertical="center"/>
    </x:xf>
    <x:xf numFmtId="0" fontId="44" fillId="0" borderId="25" xfId="0" applyFont="1" applyBorder="1" applyAlignment="1">
      <x:alignment horizontal="center" vertical="center"/>
    </x:xf>
    <x:xf numFmtId="3" fontId="47" fillId="0" borderId="16" xfId="0" applyNumberFormat="1" applyFont="1" applyBorder="1" applyAlignment="1">
      <x:alignment horizontal="center" vertical="center"/>
    </x:xf>
    <x:xf numFmtId="0" fontId="44" fillId="0" borderId="27" xfId="0" applyFont="1" applyBorder="1" applyAlignment="1">
      <x:alignment horizontal="center" vertical="center" shrinkToFit="1"/>
    </x:xf>
    <x:xf numFmtId="0" fontId="44" fillId="0" borderId="18" xfId="0" applyFont="1" applyBorder="1" applyAlignment="1">
      <x:alignment horizontal="center" vertical="center"/>
    </x:xf>
    <x:xf numFmtId="0" fontId="32" fillId="0" borderId="14" xfId="0" applyFont="1" applyBorder="1" applyAlignment="1">
      <x:alignment horizontal="center" vertical="center" shrinkToFit="1"/>
    </x:xf>
    <x:xf numFmtId="0" fontId="78" fillId="0" borderId="0" xfId="0" applyFont="1" applyAlignment="1">
      <x:alignment horizontal="center" vertical="top"/>
    </x:xf>
    <x:xf numFmtId="0" fontId="78" fillId="0" borderId="13" xfId="0" applyFont="1" applyBorder="1" applyAlignment="1">
      <x:alignment horizontal="center"/>
    </x:xf>
    <x:xf numFmtId="16" fontId="78" fillId="30" borderId="13" xfId="0" applyNumberFormat="1" applyFont="1" applyFill="1" applyBorder="1" applyAlignment="1">
      <x:alignment horizontal="center"/>
    </x:xf>
    <x:xf numFmtId="0" fontId="78" fillId="30" borderId="13" xfId="0" applyFont="1" applyFill="1" applyBorder="1" applyAlignment="1">
      <x:alignment horizontal="center"/>
    </x:xf>
    <x:xf numFmtId="0" fontId="78" fillId="0" borderId="0" xfId="0" applyFont="1" applyAlignment="1">
      <x:alignment horizontal="center"/>
    </x:xf>
    <x:xf numFmtId="49" fontId="58" fillId="0" borderId="0" xfId="0" applyNumberFormat="1" applyFont="1" applyAlignment="1"/>
    <x:xf numFmtId="49" fontId="58" fillId="26" borderId="0" xfId="0" applyNumberFormat="1" applyFont="1" applyFill="1" applyAlignment="1">
      <x:alignment vertical="center"/>
    </x:xf>
    <x:xf numFmtId="0" fontId="0" fillId="22" borderId="0" xfId="97" applyFont="1" applyFill="1" applyAlignment="1">
      <x:alignment horizontal="center"/>
    </x:xf>
    <x:xf numFmtId="189" fontId="0" fillId="0" borderId="0" xfId="91" applyFont="1" applyFill="1" applyProtection="1"/>
    <x:xf numFmtId="0" fontId="0" fillId="0" borderId="0" xfId="97" applyFont="1" applyAlignment="1">
      <x:alignment horizontal="center"/>
    </x:xf>
    <x:xf numFmtId="0" fontId="0" fillId="0" borderId="0" xfId="97" applyFont="1" applyProtection="1">
      <x:protection locked="0"/>
    </x:xf>
    <x:xf numFmtId="49" fontId="58" fillId="18" borderId="0" xfId="0" applyNumberFormat="1" applyFont="1" applyFill="1" applyAlignment="1"/>
    <x:xf numFmtId="189" fontId="0" fillId="0" borderId="0" xfId="91" applyFont="1" applyFill="1" applyBorder="1" applyProtection="1"/>
    <x:xf numFmtId="0" fontId="0" fillId="26" borderId="0" xfId="97" applyFont="1" applyFill="1" applyAlignment="1">
      <x:alignment horizontal="center"/>
    </x:xf>
    <x:xf numFmtId="49" fontId="58" fillId="29" borderId="0" xfId="0" applyNumberFormat="1" applyFont="1" applyFill="1" applyAlignment="1"/>
    <x:xf numFmtId="0" fontId="0" fillId="0" borderId="0" xfId="97" applyFont="1" applyAlignment="1" applyProtection="1">
      <x:alignment horizontal="center"/>
      <x:protection locked="0"/>
    </x:xf>
    <x:xf numFmtId="189" fontId="0" fillId="18" borderId="0" xfId="91" applyFont="1" applyFill="1" applyProtection="1"/>
    <x:xf numFmtId="0" fontId="0" fillId="23" borderId="0" xfId="97" applyFont="1" applyFill="1" applyAlignment="1">
      <x:alignment horizontal="center"/>
    </x:xf>
    <x:xf numFmtId="189" fontId="0" fillId="26" borderId="0" xfId="91" applyFont="1" applyFill="1" applyProtection="1"/>
    <x:xf numFmtId="189" fontId="0" fillId="18" borderId="0" xfId="91" applyFont="1" applyFill="1" applyBorder="1" applyProtection="1"/>
    <x:xf numFmtId="0" fontId="0" fillId="0" borderId="0" xfId="0" applyAlignment="1">
      <x:alignment horizontal="center"/>
    </x:xf>
    <x:xf numFmtId="0" fontId="0" fillId="0" borderId="0" xfId="0" applyAlignment="1" applyProtection="1">
      <x:protection locked="0"/>
    </x:xf>
    <x:xf numFmtId="189" fontId="0" fillId="0" borderId="0" xfId="91" applyFont="1" applyFill="1" applyProtection="1">
      <x:protection locked="0"/>
    </x:xf>
    <x:xf numFmtId="189" fontId="0" fillId="0" borderId="0" xfId="99" applyFont="1" applyFill="1" applyProtection="1"/>
    <x:xf numFmtId="0" fontId="0" fillId="24" borderId="0" xfId="97" applyFont="1" applyFill="1" applyAlignment="1">
      <x:alignment horizontal="center"/>
    </x:xf>
    <x:xf numFmtId="0" fontId="0" fillId="18" borderId="0" xfId="97" applyFont="1" applyFill="1" applyAlignment="1">
      <x:alignment horizontal="center"/>
    </x:xf>
    <x:xf numFmtId="43" fontId="58" fillId="0" borderId="0" xfId="88" applyFont="1" applyFill="1" applyBorder="1"/>
    <x:xf numFmtId="189" fontId="0" fillId="24" borderId="0" xfId="91" applyFont="1" applyFill="1" applyBorder="1" applyProtection="1"/>
    <x:xf numFmtId="189" fontId="0" fillId="18" borderId="0" xfId="99" applyFont="1" applyFill="1" applyProtection="1"/>
    <x:xf numFmtId="49" fontId="58" fillId="24" borderId="0" xfId="0" applyNumberFormat="1" applyFont="1" applyFill="1" applyAlignment="1"/>
    <x:xf numFmtId="189" fontId="0" fillId="31" borderId="0" xfId="91" applyFont="1" applyFill="1" applyProtection="1"/>
    <x:xf numFmtId="1" fontId="0" fillId="0" borderId="0" xfId="97" applyNumberFormat="1" applyFont="1" applyAlignment="1">
      <x:alignment horizontal="center"/>
    </x:xf>
    <x:xf numFmtId="49" fontId="58" fillId="0" borderId="0" xfId="0" applyNumberFormat="1" applyFont="1" applyAlignment="1">
      <x:alignment horizontal="center"/>
    </x:xf>
    <x:xf numFmtId="0" fontId="0" fillId="18" borderId="0" xfId="97" applyFont="1" applyFill="1" applyProtection="1">
      <x:protection locked="0"/>
    </x:xf>
    <x:xf numFmtId="0" fontId="79" fillId="0" borderId="0" xfId="97" applyFont="1" applyAlignment="1">
      <x:alignment horizontal="left" vertical="center"/>
    </x:xf>
    <x:xf numFmtId="49" fontId="80" fillId="0" borderId="0" xfId="0" applyNumberFormat="1" applyFont="1" applyAlignment="1"/>
    <x:xf numFmtId="0" fontId="81" fillId="30" borderId="0" xfId="100" applyFont="1" applyFill="1"/>
    <x:xf numFmtId="0" fontId="81" fillId="0" borderId="0" xfId="97" applyFont="1"/>
    <x:xf numFmtId="0" fontId="82" fillId="22" borderId="0" xfId="97" applyFont="1" applyFill="1" applyAlignment="1">
      <x:alignment horizontal="center"/>
    </x:xf>
    <x:xf numFmtId="189" fontId="82" fillId="0" borderId="0" xfId="91" quotePrefix="1" applyFont="1" applyFill="1" applyBorder="1" applyProtection="1"/>
    <x:xf numFmtId="189" fontId="82" fillId="0" borderId="0" xfId="91" applyFont="1" applyFill="1" applyProtection="1"/>
    <x:xf numFmtId="0" fontId="82" fillId="0" borderId="0" xfId="97" applyFont="1"/>
    <x:xf numFmtId="0" fontId="82" fillId="0" borderId="0" xfId="97" applyFont="1" applyAlignment="1">
      <x:alignment horizontal="center"/>
    </x:xf>
    <x:xf numFmtId="0" fontId="81" fillId="0" borderId="0" xfId="97" applyFont="1" applyAlignment="1">
      <x:alignment horizontal="center"/>
    </x:xf>
    <x:xf numFmtId="0" fontId="82" fillId="0" borderId="0" xfId="97" applyFont="1" applyProtection="1">
      <x:protection locked="0"/>
    </x:xf>
    <x:xf numFmtId="0" fontId="82" fillId="26" borderId="0" xfId="97" applyFont="1" applyFill="1" applyAlignment="1">
      <x:alignment horizontal="center"/>
    </x:xf>
    <x:xf numFmtId="189" fontId="82" fillId="0" borderId="0" xfId="91" applyFont="1" applyFill="1" applyBorder="1" applyProtection="1"/>
    <x:xf numFmtId="0" fontId="82" fillId="0" borderId="0" xfId="97" applyFont="1" applyAlignment="1" applyProtection="1">
      <x:alignment horizontal="center"/>
      <x:protection locked="0"/>
    </x:xf>
    <x:xf numFmtId="0" fontId="36" fillId="24" borderId="0" xfId="100" applyFont="1" applyFill="1"/>
    <x:xf numFmtId="189" fontId="82" fillId="18" borderId="0" xfId="91" applyFont="1" applyFill="1" applyProtection="1"/>
    <x:xf numFmtId="0" fontId="81" fillId="0" borderId="0" xfId="100" applyFont="1"/>
    <x:xf numFmtId="0" fontId="82" fillId="23" borderId="0" xfId="97" applyFont="1" applyFill="1" applyAlignment="1">
      <x:alignment horizontal="center"/>
    </x:xf>
    <x:xf numFmtId="49" fontId="80" fillId="29" borderId="0" xfId="0" applyNumberFormat="1" applyFont="1" applyFill="1" applyAlignment="1"/>
    <x:xf numFmtId="0" fontId="82" fillId="18" borderId="0" xfId="97" applyFont="1" applyFill="1" applyAlignment="1">
      <x:alignment horizontal="center"/>
    </x:xf>
    <x:xf numFmtId="49" fontId="80" fillId="18" borderId="0" xfId="0" applyNumberFormat="1" applyFont="1" applyFill="1" applyAlignment="1"/>
    <x:xf numFmtId="189" fontId="82" fillId="18" borderId="0" xfId="91" quotePrefix="1" applyFont="1" applyFill="1" applyBorder="1" applyProtection="1"/>
    <x:xf numFmtId="49" fontId="80" fillId="24" borderId="0" xfId="0" applyNumberFormat="1" applyFont="1" applyFill="1" applyAlignment="1"/>
    <x:xf numFmtId="0" fontId="3" fillId="18" borderId="0" xfId="97" applyFill="1" applyAlignment="1">
      <x:alignment horizontal="center"/>
    </x:xf>
    <x:xf numFmtId="189" fontId="3" fillId="24" borderId="0" xfId="91" quotePrefix="1" applyFont="1" applyFill="1" applyBorder="1" applyProtection="1"/>
    <x:xf numFmtId="0" fontId="3" fillId="0" borderId="0" xfId="97"/>
    <x:xf numFmtId="0" fontId="3" fillId="0" borderId="0" xfId="97" applyAlignment="1">
      <x:alignment horizontal="center"/>
    </x:xf>
    <x:xf numFmtId="189" fontId="3" fillId="0" borderId="0" xfId="91" applyFont="1" applyFill="1" applyBorder="1" applyProtection="1"/>
    <x:xf numFmtId="189" fontId="3" fillId="0" borderId="0" xfId="91" applyFont="1" applyFill="1" applyProtection="1"/>
    <x:xf numFmtId="0" fontId="3" fillId="26" borderId="0" xfId="97" applyFill="1" applyAlignment="1">
      <x:alignment horizontal="center"/>
    </x:xf>
    <x:xf numFmtId="49" fontId="58" fillId="22" borderId="0" xfId="0" applyNumberFormat="1" applyFont="1" applyFill="1" applyAlignment="1"/>
    <x:xf numFmtId="49" fontId="58" fillId="24" borderId="0" xfId="0" applyNumberFormat="1" applyFont="1" applyFill="1" applyAlignment="1">
      <x:alignment vertical="center"/>
    </x:xf>
    <x:xf numFmtId="0" fontId="36" fillId="30" borderId="0" xfId="97" applyFont="1" applyFill="1"/>
    <x:xf numFmtId="0" fontId="69" fillId="22" borderId="0" xfId="97" applyFont="1" applyFill="1" applyAlignment="1">
      <x:alignment vertical="center"/>
    </x:xf>
    <x:xf numFmtId="0" fontId="58" fillId="30" borderId="13" xfId="0" applyFont="1" applyFill="1" applyBorder="1" applyAlignment="1">
      <x:alignment horizontal="center" vertical="center"/>
    </x:xf>
    <x:xf numFmtId="49" fontId="58" fillId="24" borderId="0" xfId="0" quotePrefix="1" applyNumberFormat="1" applyFont="1" applyFill="1" applyAlignment="1"/>
    <x:xf numFmtId="0" fontId="3" fillId="23" borderId="0" xfId="97" applyFill="1" applyAlignment="1">
      <x:alignment horizontal="center"/>
    </x:xf>
    <x:xf numFmtId="49" fontId="58" fillId="25" borderId="0" xfId="0" applyNumberFormat="1" applyFont="1" applyFill="1" applyAlignment="1"/>
    <x:xf numFmtId="49" fontId="58" fillId="32" borderId="0" xfId="0" applyNumberFormat="1" applyFont="1" applyFill="1" applyAlignment="1"/>
    <x:xf numFmtId="0" fontId="79" fillId="18" borderId="0" xfId="97" applyFont="1" applyFill="1" applyAlignment="1">
      <x:alignment horizontal="left" vertical="center"/>
    </x:xf>
    <x:xf numFmtId="0" fontId="81" fillId="30" borderId="0" xfId="97" applyFont="1" applyFill="1"/>
    <x:xf numFmtId="0" fontId="81" fillId="24" borderId="0" xfId="97" applyFont="1" applyFill="1" applyAlignment="1">
      <x:alignment horizontal="center"/>
    </x:xf>
    <x:xf numFmtId="49" fontId="58" fillId="30" borderId="0" xfId="0" applyNumberFormat="1" applyFont="1" applyFill="1" applyAlignment="1"/>
    <x:xf numFmtId="0" fontId="81" fillId="24" borderId="0" xfId="100" applyFont="1" applyFill="1"/>
    <x:xf numFmtId="189" fontId="3" fillId="0" borderId="0" xfId="91" quotePrefix="1" applyFont="1" applyFill="1" applyBorder="1" applyProtection="1"/>
    <x:xf numFmtId="0" fontId="69" fillId="23" borderId="0" xfId="97" applyFont="1" applyFill="1" applyAlignment="1">
      <x:alignment vertical="center"/>
    </x:xf>
    <x:xf numFmtId="49" fontId="58" fillId="23" borderId="0" xfId="0" applyNumberFormat="1" applyFont="1" applyFill="1" applyAlignment="1"/>
    <x:xf numFmtId="189" fontId="0" fillId="25" borderId="0" xfId="91" applyFont="1" applyFill="1" applyProtection="1"/>
    <x:xf numFmtId="0" fontId="76" fillId="0" borderId="20" xfId="0" applyFont="1" applyBorder="1" applyAlignment="1">
      <x:alignment horizontal="center"/>
    </x:xf>
    <x:xf numFmtId="0" fontId="76" fillId="0" borderId="23" xfId="0" applyFont="1" applyBorder="1" applyAlignment="1">
      <x:alignment horizontal="center"/>
    </x:xf>
    <x:xf numFmtId="0" fontId="76" fillId="0" borderId="25" xfId="0" applyFont="1" applyBorder="1" applyAlignment="1">
      <x:alignment horizontal="center"/>
    </x:xf>
    <x:xf numFmtId="0" fontId="44" fillId="0" borderId="0" xfId="0" applyFont="1" applyAlignment="1">
      <x:alignment horizontal="left" vertical="center"/>
    </x:xf>
    <x:xf numFmtId="4" fontId="43" fillId="0" borderId="0" xfId="0" applyNumberFormat="1" applyFont="1" applyAlignment="1"/>
    <x:xf numFmtId="204" fontId="43" fillId="0" borderId="0" xfId="88" applyNumberFormat="1" applyFont="1" applyBorder="1" applyAlignment="1">
      <x:alignment horizontal="center"/>
    </x:xf>
    <x:xf numFmtId="0" fontId="76" fillId="0" borderId="13" xfId="0" applyFont="1" applyBorder="1" applyAlignment="1">
      <x:alignment horizontal="center"/>
    </x:xf>
    <x:xf numFmtId="0" fontId="37" fillId="0" borderId="24" xfId="0" applyFont="1" applyBorder="1" applyAlignment="1">
      <x:alignment horizontal="center" vertical="center"/>
    </x:xf>
    <x:xf numFmtId="204" fontId="47" fillId="0" borderId="19" xfId="88" applyNumberFormat="1" applyFont="1" applyFill="1" applyBorder="1" applyAlignment="1">
      <x:alignment horizontal="center" vertical="center"/>
    </x:xf>
    <x:xf numFmtId="204" fontId="47" fillId="0" borderId="0" xfId="88" applyNumberFormat="1" applyFont="1" applyFill="1" applyBorder="1" applyAlignment="1">
      <x:alignment horizontal="center" vertical="center"/>
    </x:xf>
    <x:xf numFmtId="4" fontId="43" fillId="0" borderId="24" xfId="0" applyNumberFormat="1" applyFont="1" applyBorder="1" applyAlignment="1"/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55" fillId="18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2" fillId="1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04" fontId="4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38" fillId="1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04" fontId="4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15">
    <x:cellStyle name="20% - Accent1" xfId="1" xr:uid="{00000000-0005-0000-0000-000000000000}"/>
    <x:cellStyle name="20% - Accent2" xfId="2" xr:uid="{00000000-0005-0000-0000-000001000000}"/>
    <x:cellStyle name="20% - Accent3" xfId="3" xr:uid="{00000000-0005-0000-0000-000002000000}"/>
    <x:cellStyle name="20% - Accent4" xfId="4" xr:uid="{00000000-0005-0000-0000-000003000000}"/>
    <x:cellStyle name="20% - Accent5" xfId="5" xr:uid="{00000000-0005-0000-0000-000004000000}"/>
    <x:cellStyle name="20% - Accent6" xfId="6" xr:uid="{00000000-0005-0000-0000-000005000000}"/>
    <x:cellStyle name="40% - Accent1" xfId="7" xr:uid="{00000000-0005-0000-0000-000006000000}"/>
    <x:cellStyle name="40% - Accent2" xfId="8" xr:uid="{00000000-0005-0000-0000-000007000000}"/>
    <x:cellStyle name="40% - Accent3" xfId="9" xr:uid="{00000000-0005-0000-0000-000008000000}"/>
    <x:cellStyle name="40% - Accent4" xfId="10" xr:uid="{00000000-0005-0000-0000-000009000000}"/>
    <x:cellStyle name="40% - Accent5" xfId="11" xr:uid="{00000000-0005-0000-0000-00000A000000}"/>
    <x:cellStyle name="40% - Accent6" xfId="12" xr:uid="{00000000-0005-0000-0000-00000B000000}"/>
    <x:cellStyle name="60% - Accent1" xfId="13" xr:uid="{00000000-0005-0000-0000-00000C000000}"/>
    <x:cellStyle name="60% - Accent2" xfId="14" xr:uid="{00000000-0005-0000-0000-00000D000000}"/>
    <x:cellStyle name="60% - Accent3" xfId="15" xr:uid="{00000000-0005-0000-0000-00000E000000}"/>
    <x:cellStyle name="60% - Accent4" xfId="16" xr:uid="{00000000-0005-0000-0000-00000F000000}"/>
    <x:cellStyle name="60% - Accent5" xfId="17" xr:uid="{00000000-0005-0000-0000-000010000000}"/>
    <x:cellStyle name="60% - Accent6" xfId="18" xr:uid="{00000000-0005-0000-0000-000011000000}"/>
    <x:cellStyle name="Accent1" xfId="19" xr:uid="{00000000-0005-0000-0000-000012000000}"/>
    <x:cellStyle name="Accent2" xfId="20" xr:uid="{00000000-0005-0000-0000-000013000000}"/>
    <x:cellStyle name="Accent3" xfId="21" xr:uid="{00000000-0005-0000-0000-000014000000}"/>
    <x:cellStyle name="Accent4" xfId="22" xr:uid="{00000000-0005-0000-0000-000015000000}"/>
    <x:cellStyle name="Accent5" xfId="23" xr:uid="{00000000-0005-0000-0000-000016000000}"/>
    <x:cellStyle name="Accent6" xfId="24" xr:uid="{00000000-0005-0000-0000-000017000000}"/>
    <x:cellStyle name="Bad" xfId="25" xr:uid="{00000000-0005-0000-0000-000018000000}"/>
    <x:cellStyle name="Calc Currency (0)" xfId="44" xr:uid="{00000000-0005-0000-0000-000019000000}"/>
    <x:cellStyle name="Calc Currency (2)" xfId="45" xr:uid="{00000000-0005-0000-0000-00001A000000}"/>
    <x:cellStyle name="Calc Percent (0)" xfId="46" xr:uid="{00000000-0005-0000-0000-00001B000000}"/>
    <x:cellStyle name="Calc Percent (1)" xfId="47" xr:uid="{00000000-0005-0000-0000-00001C000000}"/>
    <x:cellStyle name="Calc Percent (2)" xfId="48" xr:uid="{00000000-0005-0000-0000-00001D000000}"/>
    <x:cellStyle name="Calc Units (0)" xfId="49" xr:uid="{00000000-0005-0000-0000-00001E000000}"/>
    <x:cellStyle name="Calc Units (1)" xfId="50" xr:uid="{00000000-0005-0000-0000-00001F000000}"/>
    <x:cellStyle name="Calc Units (2)" xfId="51" xr:uid="{00000000-0005-0000-0000-000020000000}"/>
    <x:cellStyle name="Calculation" xfId="26" xr:uid="{00000000-0005-0000-0000-000021000000}"/>
    <x:cellStyle name="Check Cell" xfId="27" xr:uid="{00000000-0005-0000-0000-000022000000}"/>
    <x:cellStyle name="Comma [00]" xfId="52" xr:uid="{00000000-0005-0000-0000-000024000000}"/>
    <x:cellStyle name="Comma 10" xfId="105" xr:uid="{00000000-0005-0000-0000-000025000000}"/>
    <x:cellStyle name="Comma 16" xfId="106" xr:uid="{00000000-0005-0000-0000-000026000000}"/>
    <x:cellStyle name="Comma 2" xfId="43" xr:uid="{00000000-0005-0000-0000-000027000000}"/>
    <x:cellStyle name="Comma 2 2" xfId="101" xr:uid="{00000000-0005-0000-0000-000028000000}"/>
    <x:cellStyle name="Comma 2 6" xfId="93" xr:uid="{00000000-0005-0000-0000-000029000000}"/>
    <x:cellStyle name="Comma 2 7" xfId="99" xr:uid="{00000000-0005-0000-0000-00002A000000}"/>
    <x:cellStyle name="Comma 3" xfId="91" xr:uid="{00000000-0005-0000-0000-00002B000000}"/>
    <x:cellStyle name="Comma 4" xfId="104" xr:uid="{00000000-0005-0000-0000-00002C000000}"/>
    <x:cellStyle name="Comma 5" xfId="107" xr:uid="{00000000-0005-0000-0000-00002D000000}"/>
    <x:cellStyle name="Comma 5 2" xfId="94" xr:uid="{00000000-0005-0000-0000-00002E000000}"/>
    <x:cellStyle name="Comma 9" xfId="108" xr:uid="{00000000-0005-0000-0000-00002F000000}"/>
    <x:cellStyle name="Comma 9 2" xfId="109" xr:uid="{00000000-0005-0000-0000-000030000000}"/>
    <x:cellStyle name="Currency [00]" xfId="53" xr:uid="{00000000-0005-0000-0000-000031000000}"/>
    <x:cellStyle name="Date Short" xfId="54" xr:uid="{00000000-0005-0000-0000-000032000000}"/>
    <x:cellStyle name="DELTA" xfId="55" xr:uid="{00000000-0005-0000-0000-000033000000}"/>
    <x:cellStyle name="Enter Currency (0)" xfId="56" xr:uid="{00000000-0005-0000-0000-000034000000}"/>
    <x:cellStyle name="Enter Currency (2)" xfId="57" xr:uid="{00000000-0005-0000-0000-000035000000}"/>
    <x:cellStyle name="Enter Units (0)" xfId="58" xr:uid="{00000000-0005-0000-0000-000036000000}"/>
    <x:cellStyle name="Enter Units (1)" xfId="59" xr:uid="{00000000-0005-0000-0000-000037000000}"/>
    <x:cellStyle name="Enter Units (2)" xfId="60" xr:uid="{00000000-0005-0000-0000-000038000000}"/>
    <x:cellStyle name="Explanatory Text" xfId="28" xr:uid="{00000000-0005-0000-0000-000039000000}"/>
    <x:cellStyle name="Good" xfId="29" xr:uid="{00000000-0005-0000-0000-00003A000000}"/>
    <x:cellStyle name="Grey" xfId="61" xr:uid="{00000000-0005-0000-0000-00003B000000}"/>
    <x:cellStyle name="Header1" xfId="62" xr:uid="{00000000-0005-0000-0000-00003C000000}"/>
    <x:cellStyle name="Header2" xfId="63" xr:uid="{00000000-0005-0000-0000-00003D000000}"/>
    <x:cellStyle name="Heading 1" xfId="30" xr:uid="{00000000-0005-0000-0000-00003E000000}"/>
    <x:cellStyle name="Heading 2" xfId="31" xr:uid="{00000000-0005-0000-0000-00003F000000}"/>
    <x:cellStyle name="Heading 3" xfId="32" xr:uid="{00000000-0005-0000-0000-000040000000}"/>
    <x:cellStyle name="Heading 4" xfId="33" xr:uid="{00000000-0005-0000-0000-000041000000}"/>
    <x:cellStyle name="Input" xfId="34" xr:uid="{00000000-0005-0000-0000-000042000000}"/>
    <x:cellStyle name="Input [yellow]" xfId="64" xr:uid="{00000000-0005-0000-0000-000043000000}"/>
    <x:cellStyle name="Link Currency (0)" xfId="65" xr:uid="{00000000-0005-0000-0000-000044000000}"/>
    <x:cellStyle name="Link Currency (2)" xfId="66" xr:uid="{00000000-0005-0000-0000-000045000000}"/>
    <x:cellStyle name="Link Units (0)" xfId="67" xr:uid="{00000000-0005-0000-0000-000046000000}"/>
    <x:cellStyle name="Link Units (1)" xfId="68" xr:uid="{00000000-0005-0000-0000-000047000000}"/>
    <x:cellStyle name="Link Units (2)" xfId="69" xr:uid="{00000000-0005-0000-0000-000048000000}"/>
    <x:cellStyle name="Linked Cell" xfId="35" xr:uid="{00000000-0005-0000-0000-000049000000}"/>
    <x:cellStyle name="Milliers [0]_!!!GO" xfId="70" xr:uid="{00000000-0005-0000-0000-00004A000000}"/>
    <x:cellStyle name="Milliers_!!!GO" xfId="71" xr:uid="{00000000-0005-0000-0000-00004B000000}"/>
    <x:cellStyle name="Mon้taire [0]_!!!GO" xfId="72" xr:uid="{00000000-0005-0000-0000-00004C000000}"/>
    <x:cellStyle name="Mon้taire_!!!GO" xfId="73" xr:uid="{00000000-0005-0000-0000-00004D000000}"/>
    <x:cellStyle name="Neutral" xfId="36" xr:uid="{00000000-0005-0000-0000-00004E000000}"/>
    <x:cellStyle name="Normal - Style1" xfId="74" xr:uid="{00000000-0005-0000-0000-000050000000}"/>
    <x:cellStyle name="Normal 124" xfId="92" xr:uid="{00000000-0005-0000-0000-000051000000}"/>
    <x:cellStyle name="Normal 13" xfId="110" xr:uid="{00000000-0005-0000-0000-000052000000}"/>
    <x:cellStyle name="Normal 2" xfId="42" xr:uid="{00000000-0005-0000-0000-000053000000}"/>
    <x:cellStyle name="Normal 2 2" xfId="89" xr:uid="{00000000-0005-0000-0000-000054000000}"/>
    <x:cellStyle name="Normal 2 3" xfId="90" xr:uid="{00000000-0005-0000-0000-000055000000}"/>
    <x:cellStyle name="Normal 2 3 2" xfId="97" xr:uid="{00000000-0005-0000-0000-000056000000}"/>
    <x:cellStyle name="Normal 3" xfId="103" xr:uid="{00000000-0005-0000-0000-000057000000}"/>
    <x:cellStyle name="Normal 3 2" xfId="102" xr:uid="{00000000-0005-0000-0000-000058000000}"/>
    <x:cellStyle name="Normal 4 2" xfId="111" xr:uid="{00000000-0005-0000-0000-000059000000}"/>
    <x:cellStyle name="Normal 7" xfId="100" xr:uid="{00000000-0005-0000-0000-00005A000000}"/>
    <x:cellStyle name="Note" xfId="37" xr:uid="{00000000-0005-0000-0000-00005B000000}"/>
    <x:cellStyle name="Output" xfId="38" xr:uid="{00000000-0005-0000-0000-00005C000000}"/>
    <x:cellStyle name="paint" xfId="75" xr:uid="{00000000-0005-0000-0000-00005D000000}"/>
    <x:cellStyle name="Percent [0]" xfId="76" xr:uid="{00000000-0005-0000-0000-00005E000000}"/>
    <x:cellStyle name="Percent [00]" xfId="77" xr:uid="{00000000-0005-0000-0000-00005F000000}"/>
    <x:cellStyle name="Percent [2]" xfId="78" xr:uid="{00000000-0005-0000-0000-000060000000}"/>
    <x:cellStyle name="Percent 2" xfId="112" xr:uid="{00000000-0005-0000-0000-000061000000}"/>
    <x:cellStyle name="Percent 2 2" xfId="113" xr:uid="{00000000-0005-0000-0000-000062000000}"/>
    <x:cellStyle name="Percent 3" xfId="114" xr:uid="{00000000-0005-0000-0000-000063000000}"/>
    <x:cellStyle name="PrePop Currency (0)" xfId="79" xr:uid="{00000000-0005-0000-0000-000064000000}"/>
    <x:cellStyle name="PrePop Currency (2)" xfId="80" xr:uid="{00000000-0005-0000-0000-000065000000}"/>
    <x:cellStyle name="PrePop Units (0)" xfId="81" xr:uid="{00000000-0005-0000-0000-000066000000}"/>
    <x:cellStyle name="PrePop Units (1)" xfId="82" xr:uid="{00000000-0005-0000-0000-000067000000}"/>
    <x:cellStyle name="PrePop Units (2)" xfId="83" xr:uid="{00000000-0005-0000-0000-000068000000}"/>
    <x:cellStyle name="STANDARD" xfId="84" xr:uid="{00000000-0005-0000-0000-000069000000}"/>
    <x:cellStyle name="Text Indent A" xfId="85" xr:uid="{00000000-0005-0000-0000-00006A000000}"/>
    <x:cellStyle name="Text Indent B" xfId="86" xr:uid="{00000000-0005-0000-0000-00006B000000}"/>
    <x:cellStyle name="Text Indent C" xfId="87" xr:uid="{00000000-0005-0000-0000-00006C000000}"/>
    <x:cellStyle name="Title" xfId="39" xr:uid="{00000000-0005-0000-0000-00006D000000}"/>
    <x:cellStyle name="Total" xfId="40" xr:uid="{00000000-0005-0000-0000-00006E000000}"/>
    <x:cellStyle name="Warning Text" xfId="41" xr:uid="{00000000-0005-0000-0000-00006F000000}"/>
    <x:cellStyle name="เครื่องหมายจุลภาค_ใบเสนอราคา NS-0453-0453" xfId="95" xr:uid="{00000000-0005-0000-0000-000070000000}"/>
    <x:cellStyle name="จุลภาค" xfId="88" builtinId="3"/>
    <x:cellStyle name="ปกติ" xfId="0" builtinId="0"/>
    <x:cellStyle name="ปกติ 2" xfId="96" xr:uid="{00000000-0005-0000-0000-000071000000}"/>
    <x:cellStyle name="ปกติ_ใบสมัครงาน" xfId="98" xr:uid="{00000000-0005-0000-0000-000075000000}"/>
  </x:cellStyles>
  <x:tableStyles count="0" defaultTableStyle="TableStyleMedium2" defaultPivotStyle="PivotStyleLight16"/>
  <x:colors>
    <x:mruColors>
      <x:color rgb="FFFFCCFF"/>
      <x:color rgb="FFFFFFCC"/>
      <x:color rgb="FFFF66FF"/>
      <x:color rgb="FFA90792"/>
      <x:color rgb="FFCC00FF"/>
      <x:color rgb="FF00FF00"/>
      <x:color rgb="FF6600FF"/>
      <x:color rgb="FF9933FF"/>
      <x:color rgb="FFFFFF00"/>
      <x:color rgb="FF0000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9" /><Relationship Type="http://schemas.openxmlformats.org/officeDocument/2006/relationships/externalLink" Target="externalLinks/externalLink1.xml" Id="rId34" /><Relationship Type="http://schemas.openxmlformats.org/officeDocument/2006/relationships/worksheet" Target="worksheets/sheet2.xml" Id="rId2" /><Relationship Type="http://schemas.openxmlformats.org/officeDocument/2006/relationships/calcChain" Target="calcChain.xml" Id="rId41" /><Relationship Type="http://schemas.openxmlformats.org/officeDocument/2006/relationships/externalLink" Target="externalLinks/externalLink4.xml" Id="rId37" /><Relationship Type="http://schemas.openxmlformats.org/officeDocument/2006/relationships/sharedStrings" Target="sharedStrings.xml" Id="rId40" /><Relationship Type="http://schemas.openxmlformats.org/officeDocument/2006/relationships/externalLink" Target="externalLinks/externalLink3.xml" Id="rId36" /><Relationship Type="http://schemas.openxmlformats.org/officeDocument/2006/relationships/externalLink" Target="externalLinks/externalLink2.xml" Id="rId35" /><Relationship Type="http://schemas.openxmlformats.org/officeDocument/2006/relationships/theme" Target="theme/theme1.xml" Id="rId3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0</xdr:row>
      <xdr:rowOff>0</xdr:rowOff>
    </xdr:from>
    <xdr:ext cx="1590675" cy="1524000"/>
    <xdr:pic>
      <xdr:nvPicPr>
        <xdr:cNvPr id="1" name="รูปภาพ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90675" cy="1524000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One\Biab\44-09%20Seb\&#3586;&#3634;&#3618;%20254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ll%20work%20for%20Wilaiwan\&#3586;&#3634;&#3618;&#3585;&#3619;&#3640;&#3591;&#3648;&#3607;&#3614;&#3631;\My%20Documents\One\Biab\44-09%20Seb\&#3586;&#3634;&#3618;%20254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kjung\share-lek\Documents%20and%20Settings\com\Desktop\Share-lek\&#3652;&#3615;&#3621;&#3660;&#3591;&#3634;&#3609;%20&#3648;&#3604;&#3639;&#3629;&#3609;%2012\Cellcenter%20Order%201251\Cellsenter-105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ll%20work%20for%20Wilaiwan\&#3586;&#3634;&#3618;&#3585;&#3619;&#3640;&#3591;&#3648;&#3607;&#3614;&#3631;\WINDOWS\TEMP\My%20Documents\One\Biab\44-09%20Seb\&#3586;&#3634;&#3618;%20254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21"/>
      <sheetName val="368"/>
      <sheetName val="369"/>
      <sheetName val="370"/>
      <sheetName val="371"/>
      <sheetName val="372"/>
      <sheetName val="373"/>
      <sheetName val="374"/>
      <sheetName val="375"/>
      <sheetName val="376"/>
      <sheetName val="377"/>
      <sheetName val="378"/>
      <sheetName val="379"/>
      <sheetName val="380"/>
      <sheetName val="381"/>
      <sheetName val="382"/>
      <sheetName val="383"/>
      <sheetName val="384"/>
      <sheetName val="385"/>
      <sheetName val="386"/>
      <sheetName val="387"/>
      <sheetName val="388"/>
      <sheetName val="389"/>
      <sheetName val="390"/>
      <sheetName val="391"/>
      <sheetName val="392"/>
      <sheetName val="393"/>
      <sheetName val="394"/>
      <sheetName val="395"/>
      <sheetName val="396"/>
      <sheetName val="397"/>
      <sheetName val="398"/>
      <sheetName val="399"/>
      <sheetName val="400"/>
      <sheetName val="401"/>
      <sheetName val="402"/>
      <sheetName val="403"/>
      <sheetName val="404"/>
      <sheetName val="405"/>
      <sheetName val="406"/>
      <sheetName val="407"/>
      <sheetName val="408"/>
      <sheetName val="409"/>
      <sheetName val="410"/>
      <sheetName val="411"/>
      <sheetName val="412"/>
      <sheetName val="413"/>
      <sheetName val="414"/>
      <sheetName val="415"/>
      <sheetName val="416"/>
      <sheetName val="417"/>
      <sheetName val="418"/>
      <sheetName val="419"/>
      <sheetName val="420"/>
      <sheetName val="421"/>
      <sheetName val="422"/>
      <sheetName val="423"/>
      <sheetName val="424"/>
      <sheetName val="425"/>
      <sheetName val="426"/>
      <sheetName val="427"/>
      <sheetName val="428"/>
      <sheetName val="429"/>
      <sheetName val="430"/>
      <sheetName val="431"/>
      <sheetName val="432"/>
      <sheetName val="433"/>
      <sheetName val="434"/>
      <sheetName val="435"/>
      <sheetName val="436"/>
      <sheetName val="437"/>
      <sheetName val="438"/>
      <sheetName val="439"/>
      <sheetName val="440"/>
      <sheetName val="441"/>
      <sheetName val="442"/>
      <sheetName val="443"/>
      <sheetName val="444"/>
      <sheetName val="445"/>
      <sheetName val="446"/>
      <sheetName val="447"/>
      <sheetName val="448"/>
      <sheetName val="449"/>
      <sheetName val="450"/>
      <sheetName val="451"/>
      <sheetName val="452"/>
      <sheetName val="453"/>
      <sheetName val="454"/>
      <sheetName val="455"/>
      <sheetName val="456"/>
      <sheetName val="457"/>
      <sheetName val="458"/>
      <sheetName val="459"/>
      <sheetName val="460"/>
      <sheetName val="461"/>
      <sheetName val="List"/>
      <sheetName val="Op"/>
      <sheetName val="C2"/>
      <sheetName val="AL"/>
      <sheetName val="SKD"/>
      <sheetName val="A2"/>
      <sheetName val="01"/>
      <sheetName val="AB"/>
      <sheetName val="TR"/>
      <sheetName val="A"/>
      <sheetName val="B"/>
      <sheetName val="1"/>
      <sheetName val="2"/>
      <sheetName val="3A"/>
      <sheetName val="3B"/>
      <sheetName val="4"/>
      <sheetName val="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21"/>
      <sheetName val="368"/>
      <sheetName val="369"/>
      <sheetName val="370"/>
      <sheetName val="371"/>
      <sheetName val="372"/>
      <sheetName val="373"/>
      <sheetName val="374"/>
      <sheetName val="375"/>
      <sheetName val="376"/>
      <sheetName val="377"/>
      <sheetName val="378"/>
      <sheetName val="379"/>
      <sheetName val="380"/>
      <sheetName val="381"/>
      <sheetName val="382"/>
      <sheetName val="383"/>
      <sheetName val="384"/>
      <sheetName val="385"/>
      <sheetName val="386"/>
      <sheetName val="387"/>
      <sheetName val="388"/>
      <sheetName val="389"/>
      <sheetName val="390"/>
      <sheetName val="391"/>
      <sheetName val="392"/>
      <sheetName val="393"/>
      <sheetName val="394"/>
      <sheetName val="395"/>
      <sheetName val="396"/>
      <sheetName val="397"/>
      <sheetName val="398"/>
      <sheetName val="399"/>
      <sheetName val="400"/>
      <sheetName val="401"/>
      <sheetName val="402"/>
      <sheetName val="403"/>
      <sheetName val="404"/>
      <sheetName val="405"/>
      <sheetName val="406"/>
      <sheetName val="407"/>
      <sheetName val="408"/>
      <sheetName val="409"/>
      <sheetName val="410"/>
      <sheetName val="411"/>
      <sheetName val="412"/>
      <sheetName val="413"/>
      <sheetName val="414"/>
      <sheetName val="415"/>
      <sheetName val="416"/>
      <sheetName val="417"/>
      <sheetName val="418"/>
      <sheetName val="419"/>
      <sheetName val="420"/>
      <sheetName val="421"/>
      <sheetName val="422"/>
      <sheetName val="423"/>
      <sheetName val="424"/>
      <sheetName val="425"/>
      <sheetName val="426"/>
      <sheetName val="427"/>
      <sheetName val="428"/>
      <sheetName val="429"/>
      <sheetName val="430"/>
      <sheetName val="431"/>
      <sheetName val="432"/>
      <sheetName val="433"/>
      <sheetName val="434"/>
      <sheetName val="435"/>
      <sheetName val="436"/>
      <sheetName val="437"/>
      <sheetName val="438"/>
      <sheetName val="439"/>
      <sheetName val="440"/>
      <sheetName val="441"/>
      <sheetName val="442"/>
      <sheetName val="443"/>
      <sheetName val="444"/>
      <sheetName val="445"/>
      <sheetName val="446"/>
      <sheetName val="447"/>
      <sheetName val="448"/>
      <sheetName val="449"/>
      <sheetName val="450"/>
      <sheetName val="451"/>
      <sheetName val="452"/>
      <sheetName val="453"/>
      <sheetName val="454"/>
      <sheetName val="455"/>
      <sheetName val="456"/>
      <sheetName val="457"/>
      <sheetName val="458"/>
      <sheetName val="459"/>
      <sheetName val="460"/>
      <sheetName val="461"/>
      <sheetName val="List"/>
      <sheetName val="Op"/>
      <sheetName val="C2"/>
      <sheetName val="AL"/>
      <sheetName val="SKD"/>
      <sheetName val="A2"/>
      <sheetName val="01"/>
      <sheetName val="AB"/>
      <sheetName val="TR"/>
      <sheetName val="A"/>
      <sheetName val="B"/>
      <sheetName val="1"/>
      <sheetName val="2"/>
      <sheetName val="3A"/>
      <sheetName val="3B"/>
      <sheetName val="4"/>
      <sheetName val="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วม"/>
      <sheetName val="Costomer 89-1051"/>
      <sheetName val="89 ที่อยู่เบอร์โทร์ 30090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ห้าง -1"/>
      <sheetName val="ห้าง -2"/>
      <sheetName val="ห้าง -3"/>
      <sheetName val="ห้าง -4"/>
      <sheetName val="ห้าง -5"/>
      <sheetName val="ห้าง -6"/>
      <sheetName val="ห้าง -7"/>
      <sheetName val="ห้าง -8"/>
      <sheetName val="รายละเอียด"/>
    </sheetNames>
    <sheetDataSet>
      <sheetData sheetId="0"/>
      <sheetData sheetId="1"/>
      <sheetData sheetId="2">
        <row r="34">
          <cell r="B34" t="str">
            <v>เจริญจักรยาน</v>
          </cell>
          <cell r="C34" t="str">
            <v>184 ม.8 แยกนาคะหลวย ต.บัวงาม</v>
          </cell>
          <cell r="D34" t="str">
            <v>บุญทริก</v>
          </cell>
          <cell r="E34" t="str">
            <v>อุบลราชธานี</v>
          </cell>
          <cell r="F34" t="str">
            <v>045-201046</v>
          </cell>
          <cell r="G34" t="str">
            <v>06-8688578</v>
          </cell>
        </row>
        <row r="35">
          <cell r="B35" t="str">
            <v>เจริญจักรยาน</v>
          </cell>
          <cell r="C35" t="str">
            <v>104 ถ.ราชดำริ</v>
          </cell>
          <cell r="D35" t="str">
            <v>เมือง</v>
          </cell>
          <cell r="E35" t="str">
            <v>นครปฐม</v>
          </cell>
          <cell r="F35" t="str">
            <v>034-241869</v>
          </cell>
          <cell r="G35" t="str">
            <v/>
          </cell>
        </row>
        <row r="36">
          <cell r="B36" t="str">
            <v>เจริญจักรยาน</v>
          </cell>
          <cell r="C36" t="str">
            <v>299-301 ถ.ศรีสุริยวงศ์ ต.หน้าเมือง</v>
          </cell>
          <cell r="D36" t="str">
            <v>เมือง</v>
          </cell>
          <cell r="E36" t="str">
            <v>ราชบุรี</v>
          </cell>
          <cell r="F36" t="str">
            <v>032-338551</v>
          </cell>
          <cell r="G36" t="str">
            <v/>
          </cell>
        </row>
        <row r="37">
          <cell r="B37" t="str">
            <v>เจริญจักรยาน</v>
          </cell>
          <cell r="C37" t="str">
            <v>308 ม.4 ( ตรงข้ามร้าน ส.วิริยะ )</v>
          </cell>
          <cell r="D37" t="str">
            <v>เขาฉกรรจ์</v>
          </cell>
          <cell r="E37" t="str">
            <v>สระแก้ว</v>
          </cell>
          <cell r="F37" t="str">
            <v>037-511335</v>
          </cell>
          <cell r="G37" t="str">
            <v/>
          </cell>
        </row>
        <row r="38">
          <cell r="B38" t="str">
            <v>เจริญจักรยาน</v>
          </cell>
          <cell r="C38" t="str">
            <v>1138/1 ต.สลกบาตร</v>
          </cell>
          <cell r="D38" t="str">
            <v>ขาณุวรลักษณ์</v>
          </cell>
          <cell r="E38" t="str">
            <v>กำแพงเพชร</v>
          </cell>
          <cell r="F38" t="str">
            <v>055-726141</v>
          </cell>
          <cell r="G38" t="str">
            <v/>
          </cell>
        </row>
        <row r="39">
          <cell r="B39" t="str">
            <v>เจริญจักรยาน</v>
          </cell>
          <cell r="C39" t="str">
            <v>100-102 ต.ท่าช้าง</v>
          </cell>
          <cell r="D39" t="str">
            <v>เมือง</v>
          </cell>
          <cell r="E39" t="str">
            <v>อุทัยธานี</v>
          </cell>
          <cell r="F39" t="str">
            <v>056-511991</v>
          </cell>
          <cell r="G39" t="str">
            <v/>
          </cell>
        </row>
        <row r="40">
          <cell r="B40" t="str">
            <v>เจริญจักรยาน</v>
          </cell>
          <cell r="C40" t="str">
            <v>13/3 ถ.ศรีตรัง ต.กระบี่ใหญ่</v>
          </cell>
          <cell r="D40" t="str">
            <v>เมือง</v>
          </cell>
          <cell r="E40" t="str">
            <v>กระบี่</v>
          </cell>
          <cell r="F40" t="str">
            <v>075-612834</v>
          </cell>
          <cell r="G40" t="str">
            <v/>
          </cell>
        </row>
        <row r="41">
          <cell r="B41" t="str">
            <v>เจริญจักรยาน</v>
          </cell>
          <cell r="C41" t="str">
            <v>160-162 ถ.ชนปรีดา</v>
          </cell>
          <cell r="D41" t="str">
            <v>ทุ่งสง</v>
          </cell>
          <cell r="E41" t="str">
            <v>นครศรีธรรมราช</v>
          </cell>
          <cell r="F41" t="str">
            <v>075-411396</v>
          </cell>
          <cell r="G41" t="str">
            <v/>
          </cell>
        </row>
        <row r="42">
          <cell r="B42" t="str">
            <v>เจริญชัย</v>
          </cell>
          <cell r="C42" t="str">
            <v>143/5-5 ถ.อุปราช หมู่ 2</v>
          </cell>
          <cell r="D42" t="str">
            <v>น้ำพอง</v>
          </cell>
          <cell r="E42" t="str">
            <v>ขอนแก่น</v>
          </cell>
          <cell r="F42" t="str">
            <v/>
          </cell>
          <cell r="G42" t="str">
            <v/>
          </cell>
        </row>
        <row r="43">
          <cell r="B43" t="str">
            <v>เจริญชัย</v>
          </cell>
          <cell r="C43" t="str">
            <v>139 ม.7 ต.แม่อาย</v>
          </cell>
          <cell r="D43" t="str">
            <v>แม่อาย</v>
          </cell>
          <cell r="E43" t="str">
            <v>เชียงใหม่</v>
          </cell>
          <cell r="F43" t="str">
            <v>053-459122</v>
          </cell>
          <cell r="G43" t="str">
            <v/>
          </cell>
        </row>
        <row r="44">
          <cell r="B44" t="str">
            <v>เจริญทรัพย์</v>
          </cell>
          <cell r="C44" t="str">
            <v>421 ม. 1 ต.องครักษ์</v>
          </cell>
          <cell r="D44" t="str">
            <v>องครักษ์</v>
          </cell>
          <cell r="E44" t="str">
            <v>นครนายก</v>
          </cell>
          <cell r="F44" t="str">
            <v>037-391145</v>
          </cell>
          <cell r="G44" t="str">
            <v/>
          </cell>
        </row>
        <row r="45">
          <cell r="B45" t="str">
            <v>เจริญภัณฑ์</v>
          </cell>
          <cell r="C45" t="str">
            <v>3 ม.4 ต.เขื่อนอุบลรัตน์</v>
          </cell>
          <cell r="D45" t="str">
            <v>อุบลรัตน์</v>
          </cell>
          <cell r="E45" t="str">
            <v>ขอนแก่น</v>
          </cell>
          <cell r="F45" t="str">
            <v>043-446015</v>
          </cell>
          <cell r="G45" t="str">
            <v/>
          </cell>
        </row>
        <row r="46">
          <cell r="B46" t="str">
            <v>เจริญภัณฑ์</v>
          </cell>
          <cell r="C46" t="str">
            <v/>
          </cell>
          <cell r="D46" t="str">
            <v>เขมราฐ</v>
          </cell>
          <cell r="E46" t="str">
            <v>อุบลราชธานี</v>
          </cell>
          <cell r="F46" t="str">
            <v/>
          </cell>
          <cell r="G46" t="str">
            <v/>
          </cell>
        </row>
        <row r="47">
          <cell r="B47" t="str">
            <v>เจริญวัฒนพันธุ์</v>
          </cell>
          <cell r="C47" t="str">
            <v>ข./3011 ถ.พานิชเจริญ</v>
          </cell>
          <cell r="D47" t="str">
            <v>เมือง</v>
          </cell>
          <cell r="E47" t="str">
            <v>นครนายก</v>
          </cell>
          <cell r="F47" t="str">
            <v>037-311223</v>
          </cell>
          <cell r="G47" t="str">
            <v/>
          </cell>
        </row>
        <row r="48">
          <cell r="B48" t="str">
            <v>เจียมเจริญจักรยาน</v>
          </cell>
          <cell r="C48" t="str">
            <v/>
          </cell>
          <cell r="D48" t="str">
            <v>อ.เหนือคลอง</v>
          </cell>
          <cell r="E48" t="str">
            <v>กระบี่</v>
          </cell>
          <cell r="F48" t="str">
            <v/>
          </cell>
          <cell r="G48" t="str">
            <v/>
          </cell>
        </row>
        <row r="49">
          <cell r="B49" t="str">
            <v>เจียมจักรยาน</v>
          </cell>
          <cell r="C49" t="str">
            <v>44 ถ.ราชดำเนิน ต.ทับเที่ยง</v>
          </cell>
          <cell r="D49" t="str">
            <v>เมือง</v>
          </cell>
          <cell r="E49" t="str">
            <v>ตรัง</v>
          </cell>
          <cell r="F49" t="str">
            <v>075-218701</v>
          </cell>
          <cell r="G49" t="str">
            <v/>
          </cell>
        </row>
        <row r="50">
          <cell r="B50" t="str">
            <v>เจียมพานิช</v>
          </cell>
          <cell r="C50" t="str">
            <v>95 ถ.มหาราช ต.ปากน้ำ</v>
          </cell>
          <cell r="D50" t="str">
            <v>เมือง</v>
          </cell>
          <cell r="E50" t="str">
            <v>กระบี่</v>
          </cell>
          <cell r="F50" t="str">
            <v>075-621175</v>
          </cell>
          <cell r="G50" t="str">
            <v/>
          </cell>
        </row>
        <row r="51">
          <cell r="B51" t="str">
            <v>เฉลิมพรอิเล็กทริค(สุพจน์)</v>
          </cell>
          <cell r="C51" t="str">
            <v>314 ตรงข้าม ร.ร. บ้านนาโพธิ์</v>
          </cell>
          <cell r="D51" t="str">
            <v>สวี</v>
          </cell>
          <cell r="E51" t="str">
            <v>ชุมพร</v>
          </cell>
          <cell r="F51" t="str">
            <v>077-583264</v>
          </cell>
          <cell r="G51" t="str">
            <v/>
          </cell>
        </row>
        <row r="52">
          <cell r="B52" t="str">
            <v>เชาวนันท์</v>
          </cell>
          <cell r="C52" t="str">
            <v>86/12 ถ.สำราญราษฎร์ ต.โนนสูง</v>
          </cell>
          <cell r="D52" t="str">
            <v>โนนสูง</v>
          </cell>
          <cell r="E52" t="str">
            <v>นครราชสีมา</v>
          </cell>
          <cell r="F52" t="str">
            <v>044-326414</v>
          </cell>
          <cell r="G52" t="str">
            <v/>
          </cell>
        </row>
        <row r="53">
          <cell r="B53" t="str">
            <v>เชิดเกียรติ</v>
          </cell>
          <cell r="C53" t="str">
            <v>529/54 ตลาดโกสีย์นคร</v>
          </cell>
          <cell r="D53" t="str">
            <v>เมือง</v>
          </cell>
          <cell r="E53" t="str">
            <v>นครสวรรค์</v>
          </cell>
          <cell r="F53" t="str">
            <v>056-224027</v>
          </cell>
          <cell r="G53" t="str">
            <v>01-8869594</v>
          </cell>
        </row>
        <row r="54">
          <cell r="B54" t="str">
            <v>เชียงยืนโลหะ(ไพบูลย์พานิช)</v>
          </cell>
          <cell r="C54" t="str">
            <v>64 หมู่ 3 ต.เชียงยืน</v>
          </cell>
          <cell r="D54" t="str">
            <v>เชียงยืน</v>
          </cell>
          <cell r="E54" t="str">
            <v>มหาสารคาม</v>
          </cell>
          <cell r="F54" t="str">
            <v>01- 8738071</v>
          </cell>
          <cell r="G54" t="str">
            <v/>
          </cell>
        </row>
        <row r="55">
          <cell r="B55" t="str">
            <v>เซ่งเฮงหลี</v>
          </cell>
          <cell r="C55" t="str">
            <v>25 ถ.เทิดจริง</v>
          </cell>
          <cell r="D55" t="str">
            <v>เมือง</v>
          </cell>
          <cell r="E55" t="str">
            <v>ตราด</v>
          </cell>
          <cell r="F55" t="str">
            <v>039-531482</v>
          </cell>
          <cell r="G55" t="str">
            <v/>
          </cell>
        </row>
        <row r="56">
          <cell r="B56" t="str">
            <v>เซ่งฮวดหลี</v>
          </cell>
          <cell r="C56" t="str">
            <v>109 ตลาดวัดหลวง ต.ท่าช้าง</v>
          </cell>
          <cell r="D56" t="str">
            <v>เมือง</v>
          </cell>
          <cell r="E56" t="str">
            <v>อุทัยธานี</v>
          </cell>
          <cell r="F56" t="str">
            <v>056-511085</v>
          </cell>
          <cell r="G56" t="str">
            <v>056-511682</v>
          </cell>
        </row>
        <row r="57">
          <cell r="B57" t="str">
            <v>เซ็นเตอร์ไบด์ (ส. มิตรภัณฑ์ )</v>
          </cell>
          <cell r="C57" t="str">
            <v>21-23 ต.ท่าข้าม</v>
          </cell>
          <cell r="D57" t="str">
            <v>อ.เมือง</v>
          </cell>
          <cell r="E57" t="str">
            <v>สุราษฎร์ธานี</v>
          </cell>
          <cell r="F57" t="str">
            <v>077-221883</v>
          </cell>
          <cell r="G57" t="str">
            <v/>
          </cell>
        </row>
        <row r="58">
          <cell r="B58" t="str">
            <v>เดชอุดมจักรยาน</v>
          </cell>
          <cell r="C58" t="str">
            <v>132/3 ถ.บ้านส้อง-พระแสง</v>
          </cell>
          <cell r="D58" t="str">
            <v>เวียงสระ</v>
          </cell>
          <cell r="E58" t="str">
            <v>สุราษฎร์ธานี</v>
          </cell>
          <cell r="F58" t="str">
            <v>077-364134</v>
          </cell>
          <cell r="G58" t="str">
            <v/>
          </cell>
        </row>
        <row r="59">
          <cell r="B59" t="str">
            <v>เด่นชายจักรยาน</v>
          </cell>
          <cell r="C59" t="str">
            <v>308 ม.1 ถ.พยาปัดสา ต.สามแยก</v>
          </cell>
          <cell r="D59" t="str">
            <v>เลิงนกทา</v>
          </cell>
          <cell r="E59" t="str">
            <v>ยโสธร</v>
          </cell>
          <cell r="F59" t="str">
            <v>045-781253</v>
          </cell>
          <cell r="G59" t="str">
            <v/>
          </cell>
        </row>
        <row r="60">
          <cell r="B60" t="str">
            <v>เด่นทวีโชค</v>
          </cell>
          <cell r="C60" t="str">
            <v>134/6 ต.ท่ายาง</v>
          </cell>
          <cell r="D60" t="str">
            <v>ทุ่งใหญ่</v>
          </cell>
          <cell r="E60" t="str">
            <v>นครศรีธรรมราช</v>
          </cell>
          <cell r="F60" t="str">
            <v>075-368719</v>
          </cell>
          <cell r="G60" t="str">
            <v>01-2713885</v>
          </cell>
        </row>
        <row r="61">
          <cell r="B61" t="str">
            <v>เต็กเชียงเส็ง</v>
          </cell>
          <cell r="C61" t="str">
            <v>108-112 ถ.บุญวาทย์ ต.สวนดอก</v>
          </cell>
          <cell r="D61" t="str">
            <v>เมือง</v>
          </cell>
          <cell r="E61" t="str">
            <v>ลำปาง</v>
          </cell>
          <cell r="F61" t="str">
            <v>054-217719</v>
          </cell>
          <cell r="G61" t="str">
            <v/>
          </cell>
        </row>
        <row r="62">
          <cell r="B62" t="str">
            <v>เตียบ้วนสุน</v>
          </cell>
          <cell r="C62" t="str">
            <v>315-317 ถ.เจ้าสำอางค์</v>
          </cell>
          <cell r="D62" t="str">
            <v>กบินทร์บุรี</v>
          </cell>
          <cell r="E62" t="str">
            <v>ปราจีนบุรี</v>
          </cell>
          <cell r="F62" t="str">
            <v>037-281254</v>
          </cell>
          <cell r="G62" t="str">
            <v/>
          </cell>
        </row>
        <row r="63">
          <cell r="B63" t="str">
            <v>เตียหยูเฮง</v>
          </cell>
          <cell r="C63" t="str">
            <v>173 ถ.นอก ต.คลองกระแชง</v>
          </cell>
          <cell r="D63" t="str">
            <v>เมือง</v>
          </cell>
          <cell r="E63" t="str">
            <v>เพชรบุรี</v>
          </cell>
          <cell r="F63" t="str">
            <v>032-425480</v>
          </cell>
          <cell r="G63" t="str">
            <v/>
          </cell>
        </row>
        <row r="64">
          <cell r="B64" t="str">
            <v>เทพการไฟฟ้า</v>
          </cell>
          <cell r="C64" t="str">
            <v>เลขที่ 375/2 ต.ดงขุ่ย</v>
          </cell>
          <cell r="D64" t="str">
            <v>ชนแดน</v>
          </cell>
          <cell r="E64" t="str">
            <v>เพชรบูรณ์</v>
          </cell>
          <cell r="F64" t="str">
            <v>056-769193 ,</v>
          </cell>
          <cell r="G64" t="str">
            <v>09-7035609</v>
          </cell>
        </row>
        <row r="65">
          <cell r="B65" t="str">
            <v>เทพประสิทธิ์</v>
          </cell>
          <cell r="C65" t="str">
            <v>697 ม.1 ต.ปะหลาน</v>
          </cell>
          <cell r="D65" t="str">
            <v>พยัคมภูมิพิสั</v>
          </cell>
          <cell r="E65" t="str">
            <v>มหาสารคาม</v>
          </cell>
          <cell r="F65" t="str">
            <v>043-790195</v>
          </cell>
          <cell r="G65" t="str">
            <v>085-0014966</v>
          </cell>
        </row>
        <row r="66">
          <cell r="B66" t="str">
            <v>เทพศิลป์</v>
          </cell>
          <cell r="C66" t="str">
            <v>153 ถ.ศรีเมือง</v>
          </cell>
          <cell r="D66" t="str">
            <v>ตะกั่วป่า</v>
          </cell>
          <cell r="E66" t="str">
            <v>พังงา</v>
          </cell>
          <cell r="F66" t="str">
            <v>076-421237</v>
          </cell>
          <cell r="G66" t="str">
            <v/>
          </cell>
        </row>
        <row r="67">
          <cell r="B67" t="str">
            <v>เทพอำนวยยนต์</v>
          </cell>
          <cell r="C67" t="str">
            <v>595-601 ถ.มิตรภาพ ต.ปากช่อง</v>
          </cell>
          <cell r="D67" t="str">
            <v>ปากช่อง</v>
          </cell>
          <cell r="E67" t="str">
            <v>นครราชสีมา</v>
          </cell>
          <cell r="F67" t="str">
            <v>044-311907</v>
          </cell>
          <cell r="G67" t="str">
            <v>044-311340</v>
          </cell>
        </row>
        <row r="68">
          <cell r="B68" t="str">
            <v>เทวินทร์ ศรีอักขรินทร์</v>
          </cell>
          <cell r="C68" t="str">
            <v/>
          </cell>
          <cell r="D68" t="str">
            <v>จอมทอง</v>
          </cell>
          <cell r="E68" t="str">
            <v>กรุงเทพฯ</v>
          </cell>
          <cell r="F68" t="str">
            <v/>
          </cell>
          <cell r="G68" t="str">
            <v/>
          </cell>
        </row>
        <row r="69">
          <cell r="B69" t="str">
            <v>เที่ยงตรงการช่าง</v>
          </cell>
          <cell r="C69" t="str">
            <v>111 ม.4</v>
          </cell>
          <cell r="D69" t="str">
            <v>ปากคาด</v>
          </cell>
          <cell r="E69" t="str">
            <v>หนองคาย</v>
          </cell>
          <cell r="F69" t="str">
            <v>042-481032</v>
          </cell>
          <cell r="G69" t="str">
            <v/>
          </cell>
        </row>
        <row r="70">
          <cell r="B70" t="str">
            <v>เทืองเฟอร์นิเจอร์</v>
          </cell>
          <cell r="C70" t="str">
            <v>56 หมู่ 4</v>
          </cell>
          <cell r="D70" t="str">
            <v>ท้ายเหมือง</v>
          </cell>
          <cell r="E70" t="str">
            <v>พังงา</v>
          </cell>
          <cell r="F70" t="str">
            <v>076-571233</v>
          </cell>
          <cell r="G70" t="str">
            <v>076-271239</v>
          </cell>
        </row>
        <row r="71">
          <cell r="B71" t="str">
            <v>เน็ท</v>
          </cell>
          <cell r="C71" t="str">
            <v>10/4 ต.ท่าข้าม</v>
          </cell>
          <cell r="D71" t="str">
            <v>ชนแดน</v>
          </cell>
          <cell r="E71" t="str">
            <v>เพชรบูรณ์</v>
          </cell>
          <cell r="F71" t="str">
            <v>056-767068</v>
          </cell>
          <cell r="G71" t="str">
            <v/>
          </cell>
        </row>
        <row r="72">
          <cell r="B72" t="str">
            <v>เปี๊ยกจักรยาน</v>
          </cell>
          <cell r="C72" t="str">
            <v>3/29 ถ.เทศบาล 4 ต. ขลุง</v>
          </cell>
          <cell r="D72" t="str">
            <v>ขลุง</v>
          </cell>
          <cell r="E72" t="str">
            <v>จันทบุรี</v>
          </cell>
          <cell r="F72" t="str">
            <v>039-441260</v>
          </cell>
          <cell r="G72" t="str">
            <v/>
          </cell>
        </row>
        <row r="73">
          <cell r="B73" t="str">
            <v>เพชรเจริญ</v>
          </cell>
          <cell r="C73" t="str">
            <v>282 ถ.มะลิวัลย์</v>
          </cell>
          <cell r="D73" t="str">
            <v>หนองหิน</v>
          </cell>
          <cell r="E73" t="str">
            <v>เลย</v>
          </cell>
          <cell r="F73" t="str">
            <v>01-9644872</v>
          </cell>
          <cell r="G73" t="str">
            <v/>
          </cell>
        </row>
        <row r="74">
          <cell r="B74" t="str">
            <v>เพชรเจริญ (ส่งต่อ ชุมแพรทอยท์)</v>
          </cell>
          <cell r="C74" t="str">
            <v/>
          </cell>
          <cell r="D74" t="str">
            <v>อ.ชุมแพ</v>
          </cell>
          <cell r="E74" t="str">
            <v>ขอนแก่น</v>
          </cell>
          <cell r="F74" t="str">
            <v>01-9644872</v>
          </cell>
          <cell r="G74" t="str">
            <v/>
          </cell>
        </row>
        <row r="75">
          <cell r="B75" t="str">
            <v>เพชรสุวรรณ</v>
          </cell>
          <cell r="C75" t="str">
            <v>221 ม.10 ถ.มิตรภาพ ต.ค่ายบกหวาน</v>
          </cell>
          <cell r="D75" t="str">
            <v>เมือง</v>
          </cell>
          <cell r="E75" t="str">
            <v>หนองคาย</v>
          </cell>
          <cell r="F75" t="str">
            <v>042-407505</v>
          </cell>
          <cell r="G75" t="str">
            <v>01-9751354</v>
          </cell>
        </row>
        <row r="76">
          <cell r="B76" t="str">
            <v>เพ็ญพิชชา</v>
          </cell>
          <cell r="C76" t="str">
            <v>107 ม.12</v>
          </cell>
          <cell r="D76" t="str">
            <v>พลับพลาไชย</v>
          </cell>
          <cell r="E76" t="str">
            <v>บุรีรัมย์</v>
          </cell>
          <cell r="F76" t="str">
            <v>09-5858620</v>
          </cell>
          <cell r="G76" t="str">
            <v/>
          </cell>
        </row>
        <row r="77">
          <cell r="B77" t="str">
            <v>เพิ่มทรัพย์จักรยาน</v>
          </cell>
          <cell r="C77" t="str">
            <v>83 ถ.เกษมราษฎร์</v>
          </cell>
          <cell r="D77" t="str">
            <v>เมือง</v>
          </cell>
          <cell r="E77" t="str">
            <v>อุตรดิตถ์</v>
          </cell>
          <cell r="F77" t="str">
            <v>055-411554</v>
          </cell>
          <cell r="G77" t="str">
            <v>055-414835</v>
          </cell>
        </row>
        <row r="78">
          <cell r="B78" t="str">
            <v>เฟอร์นิเจอร์นายฮ้อ (1989)</v>
          </cell>
          <cell r="C78" t="str">
            <v>50/7-9 ม.1 ถ.สุวรรณศร ต. โคกแย้</v>
          </cell>
          <cell r="D78" t="str">
            <v>อ.วิหารแดง</v>
          </cell>
          <cell r="E78" t="str">
            <v>สระบุรี</v>
          </cell>
          <cell r="F78" t="str">
            <v>01-5723257</v>
          </cell>
          <cell r="G78" t="str">
            <v>01-5723257</v>
          </cell>
        </row>
        <row r="79">
          <cell r="B79" t="str">
            <v>เฟิร์นเบบี้รูม</v>
          </cell>
          <cell r="C79" t="str">
            <v>ต.กำแพงแสน</v>
          </cell>
          <cell r="D79" t="str">
            <v>กำแพงแสน</v>
          </cell>
          <cell r="E79" t="str">
            <v>นครปฐม</v>
          </cell>
          <cell r="F79" t="str">
            <v>034-351618</v>
          </cell>
          <cell r="G79" t="str">
            <v/>
          </cell>
        </row>
        <row r="80">
          <cell r="B80" t="str">
            <v>เมจิกไบค์</v>
          </cell>
          <cell r="C80" t="str">
            <v>1869 ถ.ยมราช ต.ท่าวัง</v>
          </cell>
          <cell r="D80" t="str">
            <v>เมือง</v>
          </cell>
          <cell r="E80" t="str">
            <v>นครศรีธรรมราช</v>
          </cell>
          <cell r="F80" t="str">
            <v>075-313519</v>
          </cell>
          <cell r="G80" t="str">
            <v/>
          </cell>
        </row>
        <row r="81">
          <cell r="B81" t="str">
            <v>เมืองงายรุ่งเรืองอะไหล่</v>
          </cell>
          <cell r="C81" t="str">
            <v>520 ม. 10 ต.เมืองงาย</v>
          </cell>
          <cell r="D81" t="str">
            <v>อ.เชียงดาว</v>
          </cell>
          <cell r="E81" t="str">
            <v>เชียงใหม่</v>
          </cell>
          <cell r="F81" t="str">
            <v>053-375155</v>
          </cell>
          <cell r="G81" t="str">
            <v/>
          </cell>
        </row>
        <row r="82">
          <cell r="B82" t="str">
            <v>เรืองชัย</v>
          </cell>
          <cell r="C82" t="str">
            <v>688 ตลาดธีระชัย (ข้าง บขส.)</v>
          </cell>
          <cell r="D82" t="str">
            <v>บรรพตพิสัย</v>
          </cell>
          <cell r="E82" t="str">
            <v>นครสวรรค์</v>
          </cell>
          <cell r="F82" t="str">
            <v>056-350370</v>
          </cell>
          <cell r="G82" t="str">
            <v>01-9718093</v>
          </cell>
        </row>
        <row r="83">
          <cell r="B83" t="str">
            <v>เรืองทวี</v>
          </cell>
          <cell r="C83" t="str">
            <v>183/5-6 ถนนนิกรคิ้ว</v>
          </cell>
          <cell r="D83" t="str">
            <v>ประโคนชัย</v>
          </cell>
          <cell r="E83" t="str">
            <v>บุรีรัมย์</v>
          </cell>
          <cell r="F83" t="str">
            <v>044-671353</v>
          </cell>
          <cell r="G83" t="str">
            <v/>
          </cell>
        </row>
        <row r="84">
          <cell r="B84" t="str">
            <v>เรืองศรีจักรยาน</v>
          </cell>
          <cell r="C84" t="str">
            <v>18/3 ม.3 ต. เจ้าปลุก</v>
          </cell>
          <cell r="D84" t="str">
            <v>มหาราช</v>
          </cell>
          <cell r="E84" t="str">
            <v>อยุธยา</v>
          </cell>
          <cell r="F84" t="str">
            <v>035- 712214</v>
          </cell>
          <cell r="G84" t="str">
            <v/>
          </cell>
        </row>
        <row r="85">
          <cell r="B85" t="str">
            <v>เล็งกิ่งเงิน</v>
          </cell>
          <cell r="C85" t="str">
            <v>582 ม. 3 ต. โซ่พิสัย</v>
          </cell>
          <cell r="D85" t="str">
            <v>โซ่พิสัย</v>
          </cell>
          <cell r="E85" t="str">
            <v>หนองคาย</v>
          </cell>
          <cell r="F85" t="str">
            <v>042-485045</v>
          </cell>
          <cell r="G85" t="str">
            <v>09-6207579</v>
          </cell>
        </row>
        <row r="86">
          <cell r="B86" t="str">
            <v>เลมอน</v>
          </cell>
          <cell r="C86" t="str">
            <v>115 ม.2 ต.บ้านแก่ง</v>
          </cell>
          <cell r="D86" t="str">
            <v>ตรอน</v>
          </cell>
          <cell r="E86" t="str">
            <v>อุตรดิตถ์</v>
          </cell>
          <cell r="F86" t="str">
            <v>055-451267</v>
          </cell>
          <cell r="G86" t="str">
            <v/>
          </cell>
        </row>
        <row r="87">
          <cell r="B87" t="str">
            <v>เล่าเฮงง้วน</v>
          </cell>
          <cell r="C87" t="str">
            <v>77 ม.2 ต.เวียง</v>
          </cell>
          <cell r="D87" t="str">
            <v>เชียงของ</v>
          </cell>
          <cell r="E87" t="str">
            <v>เชียงราย</v>
          </cell>
          <cell r="F87" t="str">
            <v>053-791080</v>
          </cell>
          <cell r="G87" t="str">
            <v>053-655405</v>
          </cell>
        </row>
        <row r="88">
          <cell r="B88" t="str">
            <v>เลิฟลี่</v>
          </cell>
          <cell r="C88" t="str">
            <v>516 ม.3 ถ.สว่างฟ้า นาเกลือ</v>
          </cell>
          <cell r="D88" t="str">
            <v>บางละมุง</v>
          </cell>
          <cell r="E88" t="str">
            <v>ชลบุรี</v>
          </cell>
          <cell r="F88" t="str">
            <v>038-221545</v>
          </cell>
          <cell r="G88" t="str">
            <v/>
          </cell>
        </row>
        <row r="89">
          <cell r="B89" t="str">
            <v>เลิศจักรยาน</v>
          </cell>
          <cell r="C89" t="str">
            <v>157 ถ.นเรศวร ต.ทะเลชุมพร</v>
          </cell>
          <cell r="D89" t="str">
            <v>เมือง</v>
          </cell>
          <cell r="E89" t="str">
            <v>ลพบุรี</v>
          </cell>
          <cell r="F89" t="str">
            <v>036-413303</v>
          </cell>
          <cell r="G89" t="str">
            <v/>
          </cell>
        </row>
        <row r="90">
          <cell r="B90" t="str">
            <v>เลียงจักรยาน</v>
          </cell>
          <cell r="C90" t="str">
            <v>178/10</v>
          </cell>
          <cell r="D90" t="str">
            <v>อ.กระทุ่มแบน</v>
          </cell>
          <cell r="E90" t="str">
            <v>สมุทรสาคร</v>
          </cell>
          <cell r="F90" t="str">
            <v>034-471478</v>
          </cell>
          <cell r="G90" t="str">
            <v>01-3343221</v>
          </cell>
        </row>
        <row r="91">
          <cell r="B91" t="str">
            <v>เลี่ยงฮวด</v>
          </cell>
          <cell r="C91" t="str">
            <v>892/63 ตลาดเทศบาล ถ.พันเรือง</v>
          </cell>
          <cell r="D91" t="str">
            <v>เมือง</v>
          </cell>
          <cell r="E91" t="str">
            <v>สิงห์บุรี</v>
          </cell>
          <cell r="F91" t="str">
            <v>036-511608</v>
          </cell>
          <cell r="G91" t="str">
            <v>,01-4083678</v>
          </cell>
        </row>
        <row r="92">
          <cell r="B92" t="str">
            <v>เส็งแสงเจริญ</v>
          </cell>
          <cell r="C92" t="str">
            <v>74/12 ม.3 ต.มะกรูด</v>
          </cell>
          <cell r="D92" t="str">
            <v>โคกโพธิ์</v>
          </cell>
          <cell r="E92" t="str">
            <v>ปัตตานี</v>
          </cell>
          <cell r="F92" t="str">
            <v>073-315219</v>
          </cell>
          <cell r="G92" t="str">
            <v>073-431506</v>
          </cell>
        </row>
        <row r="93">
          <cell r="B93" t="str">
            <v>เสริมประสิทธิ์ยนต์</v>
          </cell>
          <cell r="C93" t="str">
            <v/>
          </cell>
          <cell r="D93" t="str">
            <v>เทิง</v>
          </cell>
          <cell r="E93" t="str">
            <v>เชียงราย</v>
          </cell>
          <cell r="F93" t="str">
            <v/>
          </cell>
          <cell r="G93" t="str">
            <v/>
          </cell>
        </row>
        <row r="94">
          <cell r="B94" t="str">
            <v>เสรียนต์</v>
          </cell>
          <cell r="C94" t="str">
            <v>1307/47-48 ถ.จำเริญวิถี ต.คล้อ</v>
          </cell>
          <cell r="D94" t="str">
            <v>เมือง</v>
          </cell>
          <cell r="E94" t="str">
            <v>นครศรีธรรมราช</v>
          </cell>
          <cell r="F94" t="str">
            <v>075-341557</v>
          </cell>
          <cell r="G94" t="str">
            <v/>
          </cell>
        </row>
        <row r="95">
          <cell r="B95" t="str">
            <v>เสรีวัฒนา</v>
          </cell>
          <cell r="C95" t="str">
            <v>84 ถ.อุดมวิถี</v>
          </cell>
          <cell r="D95" t="str">
            <v>เมือง</v>
          </cell>
          <cell r="E95" t="str">
            <v>ปัตตานี</v>
          </cell>
          <cell r="F95" t="str">
            <v>073-349289</v>
          </cell>
          <cell r="G95" t="str">
            <v>01-8964973</v>
          </cell>
        </row>
        <row r="96">
          <cell r="B96" t="str">
            <v>เหรียญทอง 2</v>
          </cell>
          <cell r="C96" t="str">
            <v>8 ม.2</v>
          </cell>
          <cell r="D96" t="str">
            <v>ละหานทราย</v>
          </cell>
          <cell r="E96" t="str">
            <v>บุรีรัมย์</v>
          </cell>
          <cell r="F96" t="str">
            <v>01-7895185</v>
          </cell>
          <cell r="G96" t="str">
            <v/>
          </cell>
        </row>
        <row r="97">
          <cell r="B97" t="str">
            <v>เอ๋ อาภาภรณ์</v>
          </cell>
          <cell r="C97" t="str">
            <v>669/9 ม.1 ต. ท่าโรง</v>
          </cell>
          <cell r="D97" t="str">
            <v>วิเชียรบุรี</v>
          </cell>
          <cell r="E97" t="str">
            <v>เพชรบูรณ์</v>
          </cell>
          <cell r="F97" t="str">
            <v>056-754080</v>
          </cell>
          <cell r="G97" t="str">
            <v/>
          </cell>
        </row>
        <row r="98">
          <cell r="B98" t="str">
            <v>เอ. บี. ซี</v>
          </cell>
          <cell r="C98" t="str">
            <v>35-36/1 ถ.เจ้าพระยา</v>
          </cell>
          <cell r="D98" t="str">
            <v>เมือง</v>
          </cell>
          <cell r="E98" t="str">
            <v>พิษณุโลก</v>
          </cell>
          <cell r="F98" t="str">
            <v>055-258768</v>
          </cell>
          <cell r="G98" t="str">
            <v/>
          </cell>
        </row>
        <row r="99">
          <cell r="B99" t="str">
            <v>เอกเสรี</v>
          </cell>
          <cell r="C99" t="str">
            <v>213/4 ถ. ประสาทวิถี ต.แม่สอด</v>
          </cell>
          <cell r="D99" t="str">
            <v>แม่สอด</v>
          </cell>
          <cell r="E99" t="str">
            <v>ตาก</v>
          </cell>
          <cell r="F99" t="str">
            <v>055-531127</v>
          </cell>
          <cell r="G99" t="str">
            <v>055-536611,</v>
          </cell>
        </row>
        <row r="100">
          <cell r="B100" t="str">
            <v>เอกจักรยาน</v>
          </cell>
          <cell r="C100" t="str">
            <v>1014 ม.24 ต.เมืองเดช</v>
          </cell>
          <cell r="D100" t="str">
            <v>เดชอุดม</v>
          </cell>
          <cell r="E100" t="str">
            <v>อุบลราชธานี</v>
          </cell>
          <cell r="F100" t="str">
            <v>07-2391578</v>
          </cell>
          <cell r="G100" t="str">
            <v/>
          </cell>
        </row>
        <row r="101">
          <cell r="B101" t="str">
            <v>เอกอุดม</v>
          </cell>
          <cell r="C101" t="str">
            <v>727/1-7 หน้าตลาดสด</v>
          </cell>
          <cell r="D101" t="str">
            <v>ขุขันธ์</v>
          </cell>
          <cell r="E101" t="str">
            <v>ศรีสะเกษ</v>
          </cell>
          <cell r="F101" t="str">
            <v>045-671150</v>
          </cell>
          <cell r="G101" t="str">
            <v/>
          </cell>
        </row>
        <row r="102">
          <cell r="B102" t="str">
            <v>เอ็มสปอร์ต (จุน)</v>
          </cell>
          <cell r="C102" t="str">
            <v>33 ม.5 ถ.พะเยา-เชียงดำ</v>
          </cell>
          <cell r="D102" t="str">
            <v>จุน</v>
          </cell>
          <cell r="E102" t="str">
            <v>พะเยา</v>
          </cell>
          <cell r="F102" t="str">
            <v>054-420294</v>
          </cell>
          <cell r="G102" t="str">
            <v/>
          </cell>
        </row>
        <row r="103">
          <cell r="B103" t="str">
            <v>เอี่ยมเฮง</v>
          </cell>
          <cell r="C103" t="str">
            <v>71-73 ถ.นาสารนอก ต.นาสาร</v>
          </cell>
          <cell r="D103" t="str">
            <v>นาสาร</v>
          </cell>
          <cell r="E103" t="str">
            <v>สุราษฎร์ธานี</v>
          </cell>
          <cell r="F103" t="str">
            <v>077-341219</v>
          </cell>
          <cell r="G103" t="str">
            <v/>
          </cell>
        </row>
        <row r="104">
          <cell r="B104" t="str">
            <v>เอี๋ยวบางบ่อ</v>
          </cell>
          <cell r="C104" t="str">
            <v>139/34 ต.แปลงยาว</v>
          </cell>
          <cell r="D104" t="str">
            <v>แปลงยาว</v>
          </cell>
          <cell r="E104" t="str">
            <v>ฉะเชิงเทรา</v>
          </cell>
          <cell r="F104" t="str">
            <v>038-598027</v>
          </cell>
          <cell r="G104" t="str">
            <v/>
          </cell>
        </row>
        <row r="105">
          <cell r="B105" t="str">
            <v>เฮงเฟอร์นิเจอร์</v>
          </cell>
          <cell r="C105" t="str">
            <v>841 ม.1 ถ.แจ้งสนิท ต.บรบือ</v>
          </cell>
          <cell r="D105" t="str">
            <v>บรบือ</v>
          </cell>
          <cell r="E105" t="str">
            <v>มหาสารคาม</v>
          </cell>
          <cell r="F105" t="str">
            <v>043-771212</v>
          </cell>
          <cell r="G105" t="str">
            <v>01-8724377</v>
          </cell>
        </row>
        <row r="106">
          <cell r="B106" t="str">
            <v>เฮงฮวด</v>
          </cell>
          <cell r="C106" t="str">
            <v>77 ม.1 ถ.ราชดำริ</v>
          </cell>
          <cell r="D106" t="str">
            <v>ลำปลายมาศ</v>
          </cell>
          <cell r="E106" t="str">
            <v>บุรีรัมย์</v>
          </cell>
          <cell r="F106" t="str">
            <v>044-661148</v>
          </cell>
          <cell r="G106" t="str">
            <v/>
          </cell>
        </row>
        <row r="107">
          <cell r="B107" t="str">
            <v>เฮียกวง</v>
          </cell>
          <cell r="C107" t="str">
            <v>401/46-47 ม.1 นิคม</v>
          </cell>
          <cell r="D107" t="str">
            <v>สตึก</v>
          </cell>
          <cell r="E107" t="str">
            <v>บุรีรัมย์</v>
          </cell>
          <cell r="F107" t="str">
            <v>044-627659</v>
          </cell>
          <cell r="G107" t="str">
            <v>09-5802571</v>
          </cell>
        </row>
        <row r="108">
          <cell r="B108" t="str">
            <v>เฮียตี๋จักรยาน (ตี๋พานทอง)</v>
          </cell>
          <cell r="C108" t="str">
            <v>64/5 ม.5 ต.พานทอง</v>
          </cell>
          <cell r="D108" t="str">
            <v>พานทอง</v>
          </cell>
          <cell r="E108" t="str">
            <v>ชลบุรี</v>
          </cell>
          <cell r="F108" t="str">
            <v>038-451728</v>
          </cell>
          <cell r="G108" t="str">
            <v>01-7761992</v>
          </cell>
        </row>
        <row r="109">
          <cell r="B109" t="str">
            <v>แก้วจักรยาน</v>
          </cell>
          <cell r="C109" t="str">
            <v>2252 ตลาดแสงอาทิตย์</v>
          </cell>
          <cell r="D109" t="str">
            <v>หนองไผ่</v>
          </cell>
          <cell r="E109" t="str">
            <v>เพชรบูรณ์</v>
          </cell>
          <cell r="F109" t="str">
            <v>056-781341</v>
          </cell>
          <cell r="G109" t="str">
            <v/>
          </cell>
        </row>
        <row r="110">
          <cell r="B110" t="str">
            <v>แดงน้อย</v>
          </cell>
          <cell r="C110" t="str">
            <v>983 ต.สกลบาตร</v>
          </cell>
          <cell r="D110" t="str">
            <v>ขาณุวรลักษณ์</v>
          </cell>
          <cell r="E110" t="str">
            <v>กำแพงเพชร</v>
          </cell>
          <cell r="F110" t="str">
            <v>055-772011</v>
          </cell>
          <cell r="G110" t="str">
            <v>09-6403873</v>
          </cell>
        </row>
        <row r="111">
          <cell r="B111" t="str">
            <v>แม็กเฟอร์นิเจอร์</v>
          </cell>
          <cell r="C111" t="str">
            <v>204/72-73 ถ.สุขุมวิท ทางเกวียน</v>
          </cell>
          <cell r="D111" t="str">
            <v>แกลง</v>
          </cell>
          <cell r="E111" t="str">
            <v>ระยอง</v>
          </cell>
          <cell r="F111" t="str">
            <v>038-674148</v>
          </cell>
          <cell r="G111" t="str">
            <v>038-884487</v>
          </cell>
        </row>
        <row r="112">
          <cell r="B112" t="str">
            <v>แม่ข่าพานิชเชียงใหม่</v>
          </cell>
          <cell r="C112" t="str">
            <v>131-133 ถ.ช้างม่อย ต.ช้างม่อย</v>
          </cell>
          <cell r="D112" t="str">
            <v>เมือง</v>
          </cell>
          <cell r="E112" t="str">
            <v>เชียงใหม่</v>
          </cell>
          <cell r="F112" t="str">
            <v>053-234639</v>
          </cell>
          <cell r="G112" t="str">
            <v/>
          </cell>
        </row>
        <row r="113">
          <cell r="B113" t="str">
            <v>แม่ข่าพาร์ทเซ็นเตอร์</v>
          </cell>
          <cell r="C113" t="str">
            <v>6/1 ถ.หลังวัดแสนสวง</v>
          </cell>
          <cell r="D113" t="str">
            <v>เมือง</v>
          </cell>
          <cell r="E113" t="str">
            <v>เชียงใหม่</v>
          </cell>
          <cell r="F113" t="str">
            <v>053-252355</v>
          </cell>
          <cell r="G113" t="str">
            <v>053-251800</v>
          </cell>
        </row>
        <row r="114">
          <cell r="B114" t="str">
            <v>แสงเดือน</v>
          </cell>
          <cell r="C114" t="str">
            <v>155/4 หมู่ 6 ถ.กบินทร์บุรี</v>
          </cell>
          <cell r="D114" t="str">
            <v>อ.กบินทร์บุร</v>
          </cell>
          <cell r="E114" t="str">
            <v>จ.ปราบุรี</v>
          </cell>
          <cell r="F114" t="str">
            <v>037-205304</v>
          </cell>
          <cell r="G114" t="str">
            <v/>
          </cell>
        </row>
        <row r="115">
          <cell r="B115" t="str">
            <v>แสงเพชร</v>
          </cell>
          <cell r="C115" t="str">
            <v/>
          </cell>
          <cell r="D115" t="str">
            <v>บ้านนา</v>
          </cell>
          <cell r="E115" t="str">
            <v>นครนายก</v>
          </cell>
          <cell r="F115" t="str">
            <v>037-381075</v>
          </cell>
          <cell r="G115" t="str">
            <v/>
          </cell>
        </row>
        <row r="116">
          <cell r="B116" t="str">
            <v>แสงดีโภคภัณฑ์</v>
          </cell>
          <cell r="C116" t="str">
            <v>188 ม.5 ต.แม่สรวย</v>
          </cell>
          <cell r="D116" t="str">
            <v>แม่สรวย</v>
          </cell>
          <cell r="E116" t="str">
            <v>เชียงราย</v>
          </cell>
          <cell r="F116" t="str">
            <v>053-786022</v>
          </cell>
          <cell r="G116" t="str">
            <v/>
          </cell>
        </row>
        <row r="117">
          <cell r="B117" t="str">
            <v>แสงทอง</v>
          </cell>
          <cell r="C117" t="str">
            <v>84/7-8 ม.6 ตลาดเขาปีบ ต.ทุ่งตะไคร้</v>
          </cell>
          <cell r="D117" t="str">
            <v>ทุ่งตะโก</v>
          </cell>
          <cell r="E117" t="str">
            <v>ชุมพร</v>
          </cell>
          <cell r="F117" t="str">
            <v>077-585136</v>
          </cell>
          <cell r="G117" t="str">
            <v>01-6932027</v>
          </cell>
        </row>
        <row r="118">
          <cell r="B118" t="str">
            <v>แสงทองจักรยาน</v>
          </cell>
          <cell r="C118" t="str">
            <v>129/26-27 ถ.ประจักษ์</v>
          </cell>
          <cell r="D118" t="str">
            <v>เมือง</v>
          </cell>
          <cell r="E118" t="str">
            <v>นครราชสีมา</v>
          </cell>
          <cell r="F118" t="str">
            <v>044-268082</v>
          </cell>
          <cell r="G118" t="str">
            <v/>
          </cell>
        </row>
        <row r="119">
          <cell r="B119" t="str">
            <v>แสงทองจักรยาน</v>
          </cell>
          <cell r="C119" t="str">
            <v>74/18 ถ.ศรีสุข ต. หมากแข้ง</v>
          </cell>
          <cell r="D119" t="str">
            <v>เมือง</v>
          </cell>
          <cell r="E119" t="str">
            <v>อุดรธานี</v>
          </cell>
          <cell r="F119" t="str">
            <v>01-6703133</v>
          </cell>
          <cell r="G119" t="str">
            <v>042-223969</v>
          </cell>
        </row>
        <row r="120">
          <cell r="B120" t="str">
            <v>แสงทองจักรยาน</v>
          </cell>
          <cell r="C120" t="str">
            <v>5/1 ถ.หลังสวน</v>
          </cell>
          <cell r="D120" t="str">
            <v>อ.หลังสวน</v>
          </cell>
          <cell r="E120" t="str">
            <v>ชุมพร</v>
          </cell>
          <cell r="F120" t="str">
            <v>077-541723</v>
          </cell>
          <cell r="G120" t="str">
            <v>09-2923996</v>
          </cell>
        </row>
        <row r="121">
          <cell r="B121" t="str">
            <v>แสงฟ้า</v>
          </cell>
          <cell r="C121" t="str">
            <v>292 ม.5 ต.โพธิ์ทอง</v>
          </cell>
          <cell r="D121" t="str">
            <v>ปางศิลาทอง</v>
          </cell>
          <cell r="E121" t="str">
            <v>กำแพงเพชร</v>
          </cell>
          <cell r="F121" t="str">
            <v>055-727125</v>
          </cell>
          <cell r="G121" t="str">
            <v/>
          </cell>
        </row>
        <row r="122">
          <cell r="B122" t="str">
            <v>แสงฟ้า (แดง)</v>
          </cell>
          <cell r="C122" t="str">
            <v>เลขที่ 749 ม. 1 ถ. รอบตลาด ต.</v>
          </cell>
          <cell r="D122" t="str">
            <v>สังขะ</v>
          </cell>
          <cell r="E122" t="str">
            <v>สุรินทร์</v>
          </cell>
          <cell r="F122" t="str">
            <v>044-571398</v>
          </cell>
          <cell r="G122" t="str">
            <v>01-0696808</v>
          </cell>
        </row>
        <row r="123">
          <cell r="B123" t="str">
            <v>แสงฟ้าไซเคิล</v>
          </cell>
          <cell r="C123" t="str">
            <v>400/2-3 หมู่ 2 ถ.ภูเก็ต นาจักร์</v>
          </cell>
          <cell r="D123" t="str">
            <v>เมือง</v>
          </cell>
          <cell r="E123" t="str">
            <v>แพร่</v>
          </cell>
          <cell r="F123" t="str">
            <v>045-523696</v>
          </cell>
          <cell r="G123" t="str">
            <v/>
          </cell>
        </row>
        <row r="124">
          <cell r="B124" t="str">
            <v>แสงฟ้าจักรยาน</v>
          </cell>
          <cell r="C124" t="str">
            <v>255/14 ม.1</v>
          </cell>
          <cell r="D124" t="str">
            <v>สังขะ</v>
          </cell>
          <cell r="E124" t="str">
            <v>สุรินทร์</v>
          </cell>
          <cell r="F124" t="str">
            <v>044-571398</v>
          </cell>
          <cell r="G124" t="str">
            <v/>
          </cell>
        </row>
        <row r="125">
          <cell r="B125" t="str">
            <v>แสงอรุณจักรยาน</v>
          </cell>
          <cell r="C125" t="str">
            <v>34 ถ.พิชัย ต.ปากเพียว</v>
          </cell>
          <cell r="D125" t="str">
            <v>เมือง</v>
          </cell>
          <cell r="E125" t="str">
            <v>สระบุรี</v>
          </cell>
          <cell r="F125" t="str">
            <v>036-313770</v>
          </cell>
          <cell r="G125" t="str">
            <v/>
          </cell>
        </row>
        <row r="126">
          <cell r="B126" t="str">
            <v>แสงอรุณจักรยาน ส่งต่อ</v>
          </cell>
          <cell r="C126" t="str">
            <v>170 ถ.ทรงพล</v>
          </cell>
          <cell r="D126" t="str">
            <v>อ.บ้านโป่ง</v>
          </cell>
          <cell r="E126" t="str">
            <v>ราชบุรี</v>
          </cell>
          <cell r="F126" t="str">
            <v>032-200774</v>
          </cell>
          <cell r="G126" t="str">
            <v>081-6594421</v>
          </cell>
        </row>
        <row r="127">
          <cell r="B127" t="str">
            <v>แสงอรุณพาณิชย์</v>
          </cell>
          <cell r="C127" t="str">
            <v>54 ม.5 ต.นาเชือก</v>
          </cell>
          <cell r="D127" t="str">
            <v>นาเชือก</v>
          </cell>
          <cell r="E127" t="str">
            <v>มหาสารคาม</v>
          </cell>
          <cell r="F127" t="str">
            <v>043-779380</v>
          </cell>
          <cell r="G127" t="str">
            <v/>
          </cell>
        </row>
        <row r="128">
          <cell r="B128" t="str">
            <v>แสนไพศาล</v>
          </cell>
          <cell r="C128" t="str">
            <v>90 ถ.ริมโขง</v>
          </cell>
          <cell r="D128" t="str">
            <v>เชียงแสน</v>
          </cell>
          <cell r="E128" t="str">
            <v>เชียงราย</v>
          </cell>
          <cell r="F128" t="str">
            <v>053-650341</v>
          </cell>
          <cell r="G128" t="str">
            <v/>
          </cell>
        </row>
        <row r="129">
          <cell r="B129" t="str">
            <v>แสนทวีพานิชย์</v>
          </cell>
          <cell r="C129" t="str">
            <v>50/6-7 ถ.พานิชย์เจริญ</v>
          </cell>
          <cell r="D129" t="str">
            <v>อ.พล</v>
          </cell>
          <cell r="E129" t="str">
            <v>ขอนแก่น</v>
          </cell>
          <cell r="F129" t="str">
            <v>043-41452</v>
          </cell>
          <cell r="G129" t="str">
            <v/>
          </cell>
        </row>
        <row r="130">
          <cell r="B130" t="str">
            <v>แสนสุขจักรยาน</v>
          </cell>
          <cell r="C130" t="str">
            <v>50/1-2 ถ.หลังศาลเจ้า วารินชำราบ</v>
          </cell>
          <cell r="D130" t="str">
            <v>วารินชำราบ</v>
          </cell>
          <cell r="E130" t="str">
            <v>อุบลราชธานี</v>
          </cell>
          <cell r="F130" t="str">
            <v>045-242811</v>
          </cell>
          <cell r="G130" t="str">
            <v/>
          </cell>
        </row>
        <row r="131">
          <cell r="B131" t="str">
            <v>แอนดี้นาฬิกา</v>
          </cell>
          <cell r="C131" t="str">
            <v/>
          </cell>
          <cell r="D131" t="str">
            <v>สุวรรณภูมิ</v>
          </cell>
          <cell r="E131" t="str">
            <v>ร้อยเอ็ด</v>
          </cell>
          <cell r="F131" t="str">
            <v/>
          </cell>
          <cell r="G131" t="str">
            <v/>
          </cell>
        </row>
        <row r="132">
          <cell r="B132" t="str">
            <v>แอล พี แก๊ส</v>
          </cell>
          <cell r="C132" t="str">
            <v>82 ม.6</v>
          </cell>
          <cell r="D132" t="str">
            <v>ละแม</v>
          </cell>
          <cell r="E132" t="str">
            <v>ชุมพร</v>
          </cell>
          <cell r="F132" t="str">
            <v>077-559067</v>
          </cell>
          <cell r="G132" t="str">
            <v/>
          </cell>
        </row>
        <row r="133">
          <cell r="B133" t="str">
            <v>โกขิ่ว</v>
          </cell>
          <cell r="C133" t="str">
            <v>416/14 ม.2 ต.บ้านนา</v>
          </cell>
          <cell r="D133" t="str">
            <v>บ้านนาเดิม</v>
          </cell>
          <cell r="E133" t="str">
            <v>สุราษฎร์ธานี</v>
          </cell>
          <cell r="F133" t="str">
            <v>077-359100</v>
          </cell>
          <cell r="G133" t="str">
            <v>01-9680709</v>
          </cell>
        </row>
        <row r="134">
          <cell r="B134" t="str">
            <v>โกวรรณ</v>
          </cell>
          <cell r="C134" t="str">
            <v>374 ม.3 ต.ศรีดงเย็น</v>
          </cell>
          <cell r="D134" t="str">
            <v>ไชยปราการ</v>
          </cell>
          <cell r="E134" t="str">
            <v>เชียงใหม่</v>
          </cell>
          <cell r="F134" t="str">
            <v>053-457058</v>
          </cell>
          <cell r="G134" t="str">
            <v/>
          </cell>
        </row>
        <row r="135">
          <cell r="B135" t="str">
            <v>โค้ว ส. เจริญ</v>
          </cell>
          <cell r="C135" t="str">
            <v/>
          </cell>
          <cell r="D135" t="str">
            <v>บัวใหญ่</v>
          </cell>
          <cell r="E135" t="str">
            <v>นครราชสีมา</v>
          </cell>
          <cell r="F135" t="str">
            <v>044-461769</v>
          </cell>
          <cell r="G135" t="str">
            <v>07-8696727</v>
          </cell>
        </row>
        <row r="136">
          <cell r="B136" t="str">
            <v>โชคเจริญ</v>
          </cell>
          <cell r="C136" t="str">
            <v>297/4 ถ.รัดประชา</v>
          </cell>
          <cell r="D136" t="str">
            <v>ราศีไศล</v>
          </cell>
          <cell r="E136" t="str">
            <v>ศรีสะเกษ</v>
          </cell>
          <cell r="F136" t="str">
            <v>09-9174427</v>
          </cell>
          <cell r="G136" t="str">
            <v/>
          </cell>
        </row>
        <row r="137">
          <cell r="B137" t="str">
            <v>โชคชัย</v>
          </cell>
          <cell r="C137" t="str">
            <v>19 ถ.ราษฎร์เจริญ ต.คูน</v>
          </cell>
          <cell r="D137" t="str">
            <v>กันทรารมย์</v>
          </cell>
          <cell r="E137" t="str">
            <v>ศรีสะเกษ</v>
          </cell>
          <cell r="F137" t="str">
            <v>045-651088</v>
          </cell>
          <cell r="G137" t="str">
            <v/>
          </cell>
        </row>
        <row r="138">
          <cell r="B138" t="str">
            <v>โชคชัยจักรยาน</v>
          </cell>
          <cell r="C138" t="str">
            <v>31 ตลาดหนองตม ต.วงฆ้อง</v>
          </cell>
          <cell r="D138" t="str">
            <v>พรหมพิราม</v>
          </cell>
          <cell r="E138" t="str">
            <v>พิษณุโลก</v>
          </cell>
          <cell r="F138" t="str">
            <v>055-366075</v>
          </cell>
          <cell r="G138" t="str">
            <v/>
          </cell>
        </row>
        <row r="139">
          <cell r="B139" t="str">
            <v>โชคชัยพานิช</v>
          </cell>
          <cell r="C139" t="str">
            <v>689/2 ถ.ชยางกูร</v>
          </cell>
          <cell r="D139" t="str">
            <v>เมือง</v>
          </cell>
          <cell r="E139" t="str">
            <v>อุบลราชธานี</v>
          </cell>
          <cell r="F139" t="str">
            <v>086-8740774</v>
          </cell>
          <cell r="G139" t="str">
            <v/>
          </cell>
        </row>
        <row r="140">
          <cell r="B140" t="str">
            <v>โชคดี</v>
          </cell>
          <cell r="C140" t="str">
            <v>710/72-75</v>
          </cell>
          <cell r="D140" t="str">
            <v>ปราสาท</v>
          </cell>
          <cell r="E140" t="str">
            <v>สุรินทร์</v>
          </cell>
          <cell r="F140" t="str">
            <v>044-532550</v>
          </cell>
          <cell r="G140" t="str">
            <v/>
          </cell>
        </row>
        <row r="141">
          <cell r="B141" t="str">
            <v>โชคยิ่งเจริญ</v>
          </cell>
          <cell r="C141" t="str">
            <v>15 ม. 3 ต. เวียง</v>
          </cell>
          <cell r="D141" t="str">
            <v>ฝาง</v>
          </cell>
          <cell r="E141" t="str">
            <v>เชียงใหม่</v>
          </cell>
          <cell r="F141" t="str">
            <v>053-452926-7</v>
          </cell>
          <cell r="G141" t="str">
            <v>01-9511607</v>
          </cell>
        </row>
        <row r="142">
          <cell r="B142" t="str">
            <v>โชคอำนวย</v>
          </cell>
          <cell r="C142" t="str">
            <v>326/19-20 ถ.นิวซีแลนด์(ท่าช้าง)</v>
          </cell>
          <cell r="D142" t="str">
            <v>สตึก</v>
          </cell>
          <cell r="E142" t="str">
            <v>บุรีรัมย์</v>
          </cell>
          <cell r="F142" t="str">
            <v>044-681345</v>
          </cell>
          <cell r="G142" t="str">
            <v/>
          </cell>
        </row>
        <row r="143">
          <cell r="B143" t="str">
            <v>โต้งอะไหล่</v>
          </cell>
          <cell r="C143" t="str">
            <v>5/2 ม.11 ต.กุดลิ้มจี่</v>
          </cell>
          <cell r="D143" t="str">
            <v>นากลาง</v>
          </cell>
          <cell r="E143" t="str">
            <v>หนองบัวลำภู</v>
          </cell>
          <cell r="F143" t="str">
            <v/>
          </cell>
          <cell r="G143" t="str">
            <v/>
          </cell>
        </row>
        <row r="144">
          <cell r="B144" t="str">
            <v>โนนสุวรรณการช่าง</v>
          </cell>
          <cell r="C144" t="str">
            <v>64 ม.1 บ้านโนนสุวรรณ ต.โกรกแก้ว</v>
          </cell>
          <cell r="D144" t="str">
            <v>โนนสุวรรณ</v>
          </cell>
          <cell r="E144" t="str">
            <v>บุรีรัมย์</v>
          </cell>
          <cell r="F144" t="str">
            <v>044-607190</v>
          </cell>
          <cell r="G144" t="str">
            <v>01-8764912</v>
          </cell>
        </row>
        <row r="145">
          <cell r="B145" t="str">
            <v>โปร์ไบค์ (ไทยแลนด์)</v>
          </cell>
          <cell r="C145" t="str">
            <v>276/12-13 ถ. แสงชูโต</v>
          </cell>
          <cell r="D145" t="str">
            <v>เมือง</v>
          </cell>
          <cell r="E145" t="str">
            <v>กาญจนบุรี</v>
          </cell>
          <cell r="F145" t="str">
            <v>034-511449</v>
          </cell>
          <cell r="G145" t="str">
            <v>01-9420181</v>
          </cell>
        </row>
        <row r="146">
          <cell r="B146" t="str">
            <v>โพธิ์ทองเฟอร์นิเจอร์</v>
          </cell>
          <cell r="C146" t="str">
            <v>75/1 ม.1 ต.ศรีวิไล</v>
          </cell>
          <cell r="D146" t="str">
            <v>ศรีวิไล</v>
          </cell>
          <cell r="E146" t="str">
            <v>หนองคาย</v>
          </cell>
          <cell r="F146" t="str">
            <v>042-497227</v>
          </cell>
          <cell r="G146" t="str">
            <v>01-7681611</v>
          </cell>
        </row>
        <row r="147">
          <cell r="B147" t="str">
            <v>โพธิ์ศรีเฟอร์นิเจอร์</v>
          </cell>
          <cell r="C147" t="str">
            <v>286 ถ.น้ำพอง-กระนวน(ข้างปั๊ม ปตท.)</v>
          </cell>
          <cell r="D147" t="str">
            <v>น้ำพอง</v>
          </cell>
          <cell r="E147" t="str">
            <v>ขอนแก่น</v>
          </cell>
          <cell r="F147" t="str">
            <v>01-8357945</v>
          </cell>
          <cell r="G147" t="str">
            <v/>
          </cell>
        </row>
        <row r="148">
          <cell r="B148" t="str">
            <v>โฟร์เจไซเคิล</v>
          </cell>
          <cell r="C148" t="str">
            <v>62/9</v>
          </cell>
          <cell r="D148" t="str">
            <v>อ.นาแก</v>
          </cell>
          <cell r="E148" t="str">
            <v>นครพนม</v>
          </cell>
          <cell r="F148" t="str">
            <v/>
          </cell>
          <cell r="G148" t="str">
            <v/>
          </cell>
        </row>
        <row r="149">
          <cell r="B149" t="str">
            <v>โอเวอร์ซี่</v>
          </cell>
          <cell r="C149" t="str">
            <v>488 ถ.สุมนเทวราช</v>
          </cell>
          <cell r="D149" t="str">
            <v>เมือง</v>
          </cell>
          <cell r="E149" t="str">
            <v>น่าน</v>
          </cell>
          <cell r="F149" t="str">
            <v>054-773049</v>
          </cell>
          <cell r="G149" t="str">
            <v/>
          </cell>
        </row>
        <row r="150">
          <cell r="B150" t="str">
            <v>ใบมอเตอร์ไซด์</v>
          </cell>
          <cell r="C150" t="str">
            <v>1365 ม.1 ถ.บรบือ-นาเชียว</v>
          </cell>
          <cell r="D150" t="str">
            <v>บรบือ</v>
          </cell>
          <cell r="E150" t="str">
            <v>มหาสารคาม</v>
          </cell>
          <cell r="F150" t="str">
            <v>081-0539483</v>
          </cell>
          <cell r="G150" t="str">
            <v/>
          </cell>
        </row>
        <row r="151">
          <cell r="B151" t="str">
            <v>ไก่นาฬิกา</v>
          </cell>
          <cell r="C151" t="str">
            <v>31/1 ถ.ยุทพัฒน์ ต.ในเมือง</v>
          </cell>
          <cell r="D151" t="str">
            <v>เมือง</v>
          </cell>
          <cell r="E151" t="str">
            <v>มุกดาหาร</v>
          </cell>
          <cell r="F151" t="str">
            <v>042-630663</v>
          </cell>
          <cell r="G151" t="str">
            <v>01-5929425</v>
          </cell>
        </row>
        <row r="152">
          <cell r="B152" t="str">
            <v>ไชยแสง</v>
          </cell>
          <cell r="C152" t="str">
            <v>73-74 ตลาดสรรพยา ต. สรรพยา</v>
          </cell>
          <cell r="D152" t="str">
            <v>สรรพยา</v>
          </cell>
          <cell r="E152" t="str">
            <v>ชัยนาท</v>
          </cell>
          <cell r="F152" t="str">
            <v>056-499034</v>
          </cell>
          <cell r="G152" t="str">
            <v/>
          </cell>
        </row>
        <row r="153">
          <cell r="B153" t="str">
            <v>ไตเติ้ลเค๊ก</v>
          </cell>
          <cell r="C153" t="str">
            <v>2/3 ม.8 ต.ห้วยอ้อ</v>
          </cell>
          <cell r="D153" t="str">
            <v>ลอง</v>
          </cell>
          <cell r="E153" t="str">
            <v>แพร่</v>
          </cell>
          <cell r="F153" t="str">
            <v>054-581471</v>
          </cell>
          <cell r="G153" t="str">
            <v/>
          </cell>
        </row>
        <row r="154">
          <cell r="B154" t="str">
            <v>ไท้เส็ง</v>
          </cell>
          <cell r="C154" t="str">
            <v>120 ม.5</v>
          </cell>
          <cell r="D154" t="str">
            <v>แม่สรวย</v>
          </cell>
          <cell r="E154" t="str">
            <v>เชียงราย</v>
          </cell>
          <cell r="F154" t="str">
            <v>053-786018</v>
          </cell>
          <cell r="G154" t="str">
            <v>053-656282</v>
          </cell>
        </row>
        <row r="155">
          <cell r="B155" t="str">
            <v>ไทยเจริญ</v>
          </cell>
          <cell r="C155" t="str">
            <v>185/6-8 ถ.กุมภวาปี กุมภวาปี</v>
          </cell>
          <cell r="D155" t="str">
            <v>กุมภวาปี</v>
          </cell>
          <cell r="E155" t="str">
            <v>อุดรธานี</v>
          </cell>
          <cell r="F155" t="str">
            <v>042-331242</v>
          </cell>
          <cell r="G155" t="str">
            <v>042-331415</v>
          </cell>
        </row>
        <row r="156">
          <cell r="B156" t="str">
            <v>ไทยจักรยาน</v>
          </cell>
          <cell r="C156" t="str">
            <v>103/1ม.1</v>
          </cell>
          <cell r="D156" t="str">
            <v>ศรีสงคราม</v>
          </cell>
          <cell r="E156" t="str">
            <v>นครพนม</v>
          </cell>
          <cell r="F156" t="str">
            <v>042-599322</v>
          </cell>
          <cell r="G156" t="str">
            <v/>
          </cell>
        </row>
        <row r="157">
          <cell r="B157" t="str">
            <v>ไทยปรีดาจักรยาน</v>
          </cell>
          <cell r="C157" t="str">
            <v>106/1 ม.5 บ้านโพธิ์ศรี ต.โพนสวรรค์</v>
          </cell>
          <cell r="D157" t="str">
            <v>โพนสวรรค์</v>
          </cell>
          <cell r="E157" t="str">
            <v>นครพนม</v>
          </cell>
          <cell r="F157" t="str">
            <v>042-595103</v>
          </cell>
          <cell r="G157" t="str">
            <v/>
          </cell>
        </row>
        <row r="158">
          <cell r="B158" t="str">
            <v>ไทยยนตรกิจ</v>
          </cell>
          <cell r="C158" t="str">
            <v>200/4-5 ถ.เจริญราษฎร์ ต.เกษตรวิสัย</v>
          </cell>
          <cell r="D158" t="str">
            <v>เกษตรวิสัย</v>
          </cell>
          <cell r="E158" t="str">
            <v>ร้อยเอ็ด</v>
          </cell>
          <cell r="F158" t="str">
            <v>043-589204</v>
          </cell>
          <cell r="G158" t="str">
            <v/>
          </cell>
        </row>
        <row r="159">
          <cell r="B159" t="str">
            <v>ไทยรุ่งเรือง</v>
          </cell>
          <cell r="C159" t="str">
            <v>100/1-2 ป่ายุบใน</v>
          </cell>
          <cell r="D159" t="str">
            <v>วังจันทร์</v>
          </cell>
          <cell r="E159" t="str">
            <v>ระยอง</v>
          </cell>
          <cell r="F159" t="str">
            <v>038-965207</v>
          </cell>
          <cell r="G159" t="str">
            <v/>
          </cell>
        </row>
        <row r="160">
          <cell r="B160" t="str">
            <v>ไทยสงวนเฟอร์นิเจอร์</v>
          </cell>
          <cell r="C160" t="str">
            <v>197-199 ถ.พิทักษ์ชาติ</v>
          </cell>
          <cell r="D160" t="str">
            <v>เมือง</v>
          </cell>
          <cell r="E160" t="str">
            <v>ประจวบคีรีขัน</v>
          </cell>
          <cell r="F160" t="str">
            <v>032-611219</v>
          </cell>
          <cell r="G160" t="str">
            <v/>
          </cell>
        </row>
        <row r="161">
          <cell r="B161" t="str">
            <v>ไทยฮงฮวดการเกษตร</v>
          </cell>
          <cell r="C161" t="str">
            <v>332/1 ม.1 ตลาดท่าตะโก</v>
          </cell>
          <cell r="D161" t="str">
            <v>ท่าตะโก</v>
          </cell>
          <cell r="E161" t="str">
            <v>นครสวรรค์</v>
          </cell>
          <cell r="F161" t="str">
            <v>056-249131</v>
          </cell>
          <cell r="G161" t="str">
            <v/>
          </cell>
        </row>
        <row r="162">
          <cell r="B162" t="str">
            <v>ไทยฮวด</v>
          </cell>
          <cell r="C162" t="str">
            <v>73 ถ.มาตุลี ต.ปากน้ำโพ</v>
          </cell>
          <cell r="D162" t="str">
            <v>เมือง</v>
          </cell>
          <cell r="E162" t="str">
            <v>นครสวรรค์</v>
          </cell>
          <cell r="F162" t="str">
            <v>056-221684,</v>
          </cell>
          <cell r="G162" t="str">
            <v>056-314345</v>
          </cell>
        </row>
        <row r="163">
          <cell r="B163" t="str">
            <v>ไผ่พานิชย์</v>
          </cell>
          <cell r="C163" t="str">
            <v>ถ.สุวรรณศร</v>
          </cell>
          <cell r="D163" t="str">
            <v>บ้านนา</v>
          </cell>
          <cell r="E163" t="str">
            <v>นครนายก</v>
          </cell>
          <cell r="F163" t="str">
            <v>037-323244</v>
          </cell>
          <cell r="G163" t="str">
            <v/>
          </cell>
        </row>
        <row r="164">
          <cell r="B164" t="str">
            <v>ไพบูลย์วิทยุ</v>
          </cell>
          <cell r="C164" t="str">
            <v>265/1 ถ.อุปราช</v>
          </cell>
          <cell r="D164" t="str">
            <v>น้ำพอง</v>
          </cell>
          <cell r="E164" t="str">
            <v>ขอนแก่น</v>
          </cell>
          <cell r="F164" t="str">
            <v>043-441238</v>
          </cell>
          <cell r="G164" t="str">
            <v/>
          </cell>
        </row>
        <row r="165">
          <cell r="B165" t="str">
            <v>ไพรัตน์</v>
          </cell>
          <cell r="C165" t="str">
            <v>387 ถ.โชคชัย-เดชอุดม</v>
          </cell>
          <cell r="D165" t="str">
            <v>นางรอง</v>
          </cell>
          <cell r="E165" t="str">
            <v>บุรีรัมย์</v>
          </cell>
          <cell r="F165" t="str">
            <v>044-631120</v>
          </cell>
          <cell r="G165" t="str">
            <v/>
          </cell>
        </row>
        <row r="166">
          <cell r="B166" t="str">
            <v>ไพศาลไบค์เซ็นเตอร์</v>
          </cell>
          <cell r="C166" t="str">
            <v>156-158 ถ.จรวดวิถีถ่อง ต.ธานี</v>
          </cell>
          <cell r="D166" t="str">
            <v>เมือง</v>
          </cell>
          <cell r="E166" t="str">
            <v>สุโขทัย</v>
          </cell>
          <cell r="F166" t="str">
            <v>055-611313</v>
          </cell>
          <cell r="G166" t="str">
            <v/>
          </cell>
        </row>
        <row r="167">
          <cell r="B167" t="str">
            <v>ไพศาลการค้า</v>
          </cell>
          <cell r="C167" t="str">
            <v>64 ม.3</v>
          </cell>
          <cell r="D167" t="str">
            <v>ปทุมราชวงศา</v>
          </cell>
          <cell r="E167" t="str">
            <v>อำนาจเจริญ</v>
          </cell>
          <cell r="F167" t="str">
            <v>045-465198</v>
          </cell>
          <cell r="G167" t="str">
            <v/>
          </cell>
        </row>
        <row r="168">
          <cell r="B168" t="str">
            <v>ไพศาลจักรยาน</v>
          </cell>
          <cell r="C168" t="str">
            <v>246 ถ.ชนะผล หลังสถานีดับเพลิง</v>
          </cell>
          <cell r="D168" t="str">
            <v>เมือง</v>
          </cell>
          <cell r="E168" t="str">
            <v>กาฬสินธุ์</v>
          </cell>
          <cell r="F168" t="str">
            <v>043-821334</v>
          </cell>
          <cell r="G168" t="str">
            <v/>
          </cell>
        </row>
        <row r="169">
          <cell r="B169" t="str">
            <v>ไพศาลจักรยาน</v>
          </cell>
          <cell r="C169" t="str">
            <v>20 ถ.ปัทมานนท์</v>
          </cell>
          <cell r="D169" t="str">
            <v>เมือง</v>
          </cell>
          <cell r="E169" t="str">
            <v>ร้อยเอ็ด</v>
          </cell>
          <cell r="F169" t="str">
            <v>043-511425</v>
          </cell>
          <cell r="G169" t="str">
            <v>043- 525399</v>
          </cell>
        </row>
        <row r="170">
          <cell r="B170" t="str">
            <v>ไพศาลยนต์</v>
          </cell>
          <cell r="C170" t="str">
            <v>123 ถ.เจริญพัฒนา (ตลาดเทศบาล 2)</v>
          </cell>
          <cell r="D170" t="str">
            <v>เมือง</v>
          </cell>
          <cell r="E170" t="str">
            <v>เพชรบูรณ์</v>
          </cell>
          <cell r="F170" t="str">
            <v>056-720096</v>
          </cell>
          <cell r="G170" t="str">
            <v/>
          </cell>
        </row>
        <row r="171">
          <cell r="B171" t="str">
            <v>ไล่ฮะจักรยาน</v>
          </cell>
          <cell r="C171" t="str">
            <v>351 ถ.จอมพล ติดศาลเจ้าพ่อหลักเมือง</v>
          </cell>
          <cell r="D171" t="str">
            <v>เมือง</v>
          </cell>
          <cell r="E171" t="str">
            <v>นครราชสีมา</v>
          </cell>
          <cell r="F171" t="str">
            <v>044-242708</v>
          </cell>
          <cell r="G171" t="str">
            <v/>
          </cell>
        </row>
        <row r="172">
          <cell r="B172" t="str">
            <v>ไว้ศักดิ์การค้า</v>
          </cell>
          <cell r="C172" t="str">
            <v>37/7 ม.1 ต.เพ็ญ</v>
          </cell>
          <cell r="D172" t="str">
            <v>เพ็ญ</v>
          </cell>
          <cell r="E172" t="str">
            <v>อุดรธานี</v>
          </cell>
          <cell r="F172" t="str">
            <v>042-279274</v>
          </cell>
          <cell r="G172" t="str">
            <v/>
          </cell>
        </row>
        <row r="173">
          <cell r="B173" t="str">
            <v>ไอ้หนึ่งจักรยาน</v>
          </cell>
          <cell r="C173" t="str">
            <v>133 ม.1 ต.เซกา</v>
          </cell>
          <cell r="D173" t="str">
            <v>เซกา</v>
          </cell>
          <cell r="E173" t="str">
            <v>หนองคาย</v>
          </cell>
          <cell r="F173" t="str">
            <v>042-489018</v>
          </cell>
          <cell r="G173" t="str">
            <v/>
          </cell>
        </row>
        <row r="174">
          <cell r="B174" t="str">
            <v>ก. เจริญพานิช</v>
          </cell>
          <cell r="C174" t="str">
            <v>226/8-9 ถ.พหลโยธิน สี่แยกศรีชุม ต.</v>
          </cell>
          <cell r="D174" t="str">
            <v>เมือง</v>
          </cell>
          <cell r="E174" t="str">
            <v>ลำปาง</v>
          </cell>
          <cell r="F174" t="str">
            <v>054-222496</v>
          </cell>
          <cell r="G174" t="str">
            <v>054-227226</v>
          </cell>
        </row>
        <row r="175">
          <cell r="B175" t="str">
            <v>ก. กลการ</v>
          </cell>
          <cell r="C175" t="str">
            <v>519/1 หมู่ 1 ต.เมืองพาน</v>
          </cell>
          <cell r="D175" t="str">
            <v>พาน</v>
          </cell>
          <cell r="E175" t="str">
            <v>เชียงราย</v>
          </cell>
          <cell r="F175" t="str">
            <v>053-722190</v>
          </cell>
          <cell r="G175" t="str">
            <v/>
          </cell>
        </row>
        <row r="176">
          <cell r="B176" t="str">
            <v>ก.เจริญยนต์</v>
          </cell>
          <cell r="C176" t="str">
            <v>0583 ถ.บ้านนา ต.สัตหีบ</v>
          </cell>
          <cell r="D176" t="str">
            <v>สัตหีบ</v>
          </cell>
          <cell r="E176" t="str">
            <v>ชลบุรี</v>
          </cell>
          <cell r="F176" t="str">
            <v>038-700107</v>
          </cell>
          <cell r="G176" t="str">
            <v/>
          </cell>
        </row>
        <row r="177">
          <cell r="B177" t="str">
            <v>ก.ศิริยนต์</v>
          </cell>
          <cell r="C177" t="str">
            <v>29 ม.1 ต.แม่ใจ</v>
          </cell>
          <cell r="D177" t="str">
            <v>แม่ใจ</v>
          </cell>
          <cell r="E177" t="str">
            <v>พะเยา</v>
          </cell>
          <cell r="F177" t="str">
            <v>054-417784</v>
          </cell>
          <cell r="G177" t="str">
            <v/>
          </cell>
        </row>
        <row r="178">
          <cell r="B178" t="str">
            <v>กมลการไฟฟ้า</v>
          </cell>
          <cell r="C178" t="str">
            <v>51/32-33 ถ.ถีนานนท์ ต.สมเด็จ</v>
          </cell>
          <cell r="D178" t="str">
            <v>สมเด็จ</v>
          </cell>
          <cell r="E178" t="str">
            <v>กาฬสินธุ์</v>
          </cell>
          <cell r="F178" t="str">
            <v>043-861440</v>
          </cell>
          <cell r="G178" t="str">
            <v/>
          </cell>
        </row>
        <row r="179">
          <cell r="B179" t="str">
            <v>กรุงโรมจักรยาน</v>
          </cell>
          <cell r="C179" t="str">
            <v>241 ม.6 ถ.นิมิตรเมือง</v>
          </cell>
          <cell r="D179" t="str">
            <v>กระนวน</v>
          </cell>
          <cell r="E179" t="str">
            <v>ขอนแก่น</v>
          </cell>
          <cell r="F179" t="str">
            <v>043-252399</v>
          </cell>
          <cell r="G179" t="str">
            <v/>
          </cell>
        </row>
        <row r="180">
          <cell r="B180" t="str">
            <v>กวงไถ่เทเลคอม</v>
          </cell>
          <cell r="C180" t="str">
            <v>313 ม.4 ต.ท่าชนะ</v>
          </cell>
          <cell r="D180" t="str">
            <v>ท่าชนะ</v>
          </cell>
          <cell r="E180" t="str">
            <v>สุราษฎร์ธานี</v>
          </cell>
          <cell r="F180" t="str">
            <v>077-262203</v>
          </cell>
          <cell r="G180" t="str">
            <v>077-262204</v>
          </cell>
        </row>
        <row r="181">
          <cell r="B181" t="str">
            <v>กวงไถ่เฟอร์นิเจอร์</v>
          </cell>
          <cell r="C181" t="str">
            <v>30 ม.4</v>
          </cell>
          <cell r="D181" t="str">
            <v>ท่าชนะ</v>
          </cell>
          <cell r="E181" t="str">
            <v>สุราษฎร์ธานี</v>
          </cell>
          <cell r="F181" t="str">
            <v>077-381129</v>
          </cell>
          <cell r="G181" t="str">
            <v/>
          </cell>
        </row>
        <row r="182">
          <cell r="B182" t="str">
            <v>กวงหลีล้ง</v>
          </cell>
          <cell r="C182" t="str">
            <v>394/1-3 ถ.ตากสิน</v>
          </cell>
          <cell r="D182" t="str">
            <v>เมือง</v>
          </cell>
          <cell r="E182" t="str">
            <v>ตาก</v>
          </cell>
          <cell r="F182" t="str">
            <v>055-511164</v>
          </cell>
          <cell r="G182" t="str">
            <v>055-513270</v>
          </cell>
        </row>
        <row r="183">
          <cell r="B183" t="str">
            <v>กอบกับกิจยนต์</v>
          </cell>
          <cell r="C183" t="str">
            <v>68/70 ถ.ท่าช้าง</v>
          </cell>
          <cell r="D183" t="str">
            <v>เมือง</v>
          </cell>
          <cell r="E183" t="str">
            <v>อุทัยธานี</v>
          </cell>
          <cell r="F183" t="str">
            <v>056-511355</v>
          </cell>
          <cell r="G183" t="str">
            <v/>
          </cell>
        </row>
        <row r="184">
          <cell r="B184" t="str">
            <v>กำนันกอย</v>
          </cell>
          <cell r="C184" t="str">
            <v>478</v>
          </cell>
          <cell r="D184" t="str">
            <v>ท่าวังผา</v>
          </cell>
          <cell r="E184" t="str">
            <v>น่าน</v>
          </cell>
          <cell r="F184" t="str">
            <v>054-799276</v>
          </cell>
          <cell r="G184" t="str">
            <v/>
          </cell>
        </row>
        <row r="185">
          <cell r="B185" t="str">
            <v>กิจเจริญ</v>
          </cell>
          <cell r="C185" t="str">
            <v>193 หมู่ 2 คลอง 6 ต.ธัญญบุรี</v>
          </cell>
          <cell r="D185" t="str">
            <v>ธัญญบุรี</v>
          </cell>
          <cell r="E185" t="str">
            <v>ปทุมธานี</v>
          </cell>
          <cell r="F185" t="str">
            <v>01-6588425</v>
          </cell>
          <cell r="G185" t="str">
            <v>02-9046989</v>
          </cell>
        </row>
        <row r="186">
          <cell r="B186" t="str">
            <v>กิจเสรี</v>
          </cell>
          <cell r="C186" t="str">
            <v>121/2-3 ถ.ท่าเมือง</v>
          </cell>
          <cell r="D186" t="str">
            <v>เมือง</v>
          </cell>
          <cell r="E186" t="str">
            <v>ระนอง</v>
          </cell>
          <cell r="F186" t="str">
            <v>077-811614</v>
          </cell>
          <cell r="G186" t="str">
            <v>077-</v>
          </cell>
        </row>
        <row r="187">
          <cell r="B187" t="str">
            <v>กิจรุ่งเรือง</v>
          </cell>
          <cell r="C187" t="str">
            <v>87 ม.7 (ข้างธ.ธกส.เกาะคา) ต. ศาลา</v>
          </cell>
          <cell r="D187" t="str">
            <v>เกาะคา</v>
          </cell>
          <cell r="E187" t="str">
            <v>ลำปาง</v>
          </cell>
          <cell r="F187" t="str">
            <v>054-281087</v>
          </cell>
          <cell r="G187" t="str">
            <v/>
          </cell>
        </row>
        <row r="188">
          <cell r="B188" t="str">
            <v>กิจวัฒนา</v>
          </cell>
          <cell r="C188" t="str">
            <v>209 ถ.ยันตรกิจโกศล ต.สูงเม่น</v>
          </cell>
          <cell r="D188" t="str">
            <v>สูงเม่น</v>
          </cell>
          <cell r="E188" t="str">
            <v>แพร่</v>
          </cell>
          <cell r="F188" t="str">
            <v>054-630469</v>
          </cell>
          <cell r="G188" t="str">
            <v/>
          </cell>
        </row>
        <row r="189">
          <cell r="B189" t="str">
            <v>กิจศิริยนต์</v>
          </cell>
          <cell r="C189" t="str">
            <v>1996 หมู่ 1 เมืองพาน</v>
          </cell>
          <cell r="D189" t="str">
            <v>พาน</v>
          </cell>
          <cell r="E189" t="str">
            <v>เชียงราย</v>
          </cell>
          <cell r="F189" t="str">
            <v>054-417784</v>
          </cell>
          <cell r="G189" t="str">
            <v/>
          </cell>
        </row>
        <row r="190">
          <cell r="B190" t="str">
            <v>กิตติชัยพานิช</v>
          </cell>
          <cell r="C190" t="str">
            <v>209 ถ.ชนปรีชา 01-8944345</v>
          </cell>
          <cell r="D190" t="str">
            <v>ทุ่งสง</v>
          </cell>
          <cell r="E190" t="str">
            <v>นครศรีธรรมราช</v>
          </cell>
          <cell r="F190" t="str">
            <v>075-411013</v>
          </cell>
          <cell r="G190" t="str">
            <v>01-8944345</v>
          </cell>
        </row>
        <row r="191">
          <cell r="B191" t="str">
            <v>กิมกี่</v>
          </cell>
          <cell r="C191" t="str">
            <v>74 ถ.ริมโขง</v>
          </cell>
          <cell r="D191" t="str">
            <v>เชียงแสน</v>
          </cell>
          <cell r="E191" t="str">
            <v>เชียงราย</v>
          </cell>
          <cell r="F191" t="str">
            <v>053-777018</v>
          </cell>
          <cell r="G191" t="str">
            <v/>
          </cell>
        </row>
        <row r="192">
          <cell r="B192" t="str">
            <v>กิมช่างยนต์</v>
          </cell>
          <cell r="C192" t="str">
            <v>227 ม. 2 ต.แม่ไร่</v>
          </cell>
          <cell r="D192" t="str">
            <v>แม่สาย</v>
          </cell>
          <cell r="E192" t="str">
            <v>เชียงราย</v>
          </cell>
          <cell r="F192" t="str">
            <v>053-667327</v>
          </cell>
          <cell r="G192" t="str">
            <v/>
          </cell>
        </row>
        <row r="193">
          <cell r="B193" t="str">
            <v>กิมฟองจักรยาน</v>
          </cell>
          <cell r="C193" t="str">
            <v>540 ถ.โกสีย์ ตลาดปากน้ำโพ</v>
          </cell>
          <cell r="D193" t="str">
            <v>เมือง</v>
          </cell>
          <cell r="E193" t="str">
            <v>นครสวรรค์</v>
          </cell>
          <cell r="F193" t="str">
            <v>056-212475</v>
          </cell>
          <cell r="G193" t="str">
            <v/>
          </cell>
        </row>
        <row r="194">
          <cell r="B194" t="str">
            <v>กิมฮั้วจักรยาน</v>
          </cell>
          <cell r="C194" t="str">
            <v>43/9 ถ.ศรีเสนา ต.สามกอ</v>
          </cell>
          <cell r="D194" t="str">
            <v>เสนา</v>
          </cell>
          <cell r="E194" t="str">
            <v>อยุธยา</v>
          </cell>
          <cell r="F194" t="str">
            <v/>
          </cell>
          <cell r="G194" t="str">
            <v/>
          </cell>
        </row>
        <row r="195">
          <cell r="B195" t="str">
            <v>กีตาร์อะไหล่</v>
          </cell>
          <cell r="C195" t="str">
            <v/>
          </cell>
          <cell r="D195" t="str">
            <v>หนองฉาง</v>
          </cell>
          <cell r="E195" t="str">
            <v>อุทัยธานี</v>
          </cell>
          <cell r="F195" t="str">
            <v>056-531147</v>
          </cell>
          <cell r="G195" t="str">
            <v/>
          </cell>
        </row>
        <row r="196">
          <cell r="B196" t="str">
            <v>กึงกี่จักรยาน</v>
          </cell>
          <cell r="C196" t="str">
            <v>122 ถ.ศิวบูรณ์</v>
          </cell>
          <cell r="D196" t="str">
            <v>ประจันตคาม</v>
          </cell>
          <cell r="E196" t="str">
            <v>ปราจีนบุรี</v>
          </cell>
          <cell r="F196" t="str">
            <v>037-291056</v>
          </cell>
          <cell r="G196" t="str">
            <v/>
          </cell>
        </row>
        <row r="197">
          <cell r="B197" t="str">
            <v>กุดจับจักรยาน</v>
          </cell>
          <cell r="C197" t="str">
            <v>40 ม.13 ต.เมืองเพีย</v>
          </cell>
          <cell r="D197" t="str">
            <v>กุดจับ</v>
          </cell>
          <cell r="E197" t="str">
            <v>อุดรธานี</v>
          </cell>
          <cell r="F197" t="str">
            <v>042-291088</v>
          </cell>
          <cell r="G197" t="str">
            <v/>
          </cell>
        </row>
        <row r="198">
          <cell r="B198" t="str">
            <v>กุมภวาจักรยาน</v>
          </cell>
          <cell r="C198" t="str">
            <v>150 ม.15 บ้านพันดอน ต.พันดอน</v>
          </cell>
          <cell r="D198" t="str">
            <v>กุมภวาปี</v>
          </cell>
          <cell r="E198" t="str">
            <v>อุดรธานี</v>
          </cell>
          <cell r="F198" t="str">
            <v>042-331593</v>
          </cell>
          <cell r="G198" t="str">
            <v/>
          </cell>
        </row>
        <row r="199">
          <cell r="B199" t="str">
            <v>กุมภวาจักรยาน</v>
          </cell>
          <cell r="C199" t="str">
            <v>150 ม.15 บ้านพันดอน ต.พันดอน</v>
          </cell>
          <cell r="D199" t="str">
            <v>กุมภวาปี</v>
          </cell>
          <cell r="E199" t="str">
            <v>อุดรธานี</v>
          </cell>
          <cell r="F199" t="str">
            <v>042-331593</v>
          </cell>
          <cell r="G199" t="str">
            <v/>
          </cell>
        </row>
        <row r="200">
          <cell r="B200" t="str">
            <v>กุลวุฒิ</v>
          </cell>
          <cell r="C200" t="str">
            <v/>
          </cell>
          <cell r="D200" t="str">
            <v>ลอง</v>
          </cell>
          <cell r="E200" t="str">
            <v>แพร่</v>
          </cell>
          <cell r="F200" t="str">
            <v/>
          </cell>
          <cell r="G200" t="str">
            <v/>
          </cell>
        </row>
        <row r="201">
          <cell r="B201" t="str">
            <v>กุหลาบเฟอร์นิเจอร์</v>
          </cell>
          <cell r="C201" t="str">
            <v>058-060 ม.5 ถ.รักษ์นรกิจ ต.นาโพธิ์</v>
          </cell>
          <cell r="D201" t="str">
            <v>สวี</v>
          </cell>
          <cell r="E201" t="str">
            <v>ชุมพร</v>
          </cell>
          <cell r="F201" t="str">
            <v>077-531441</v>
          </cell>
          <cell r="G201" t="str">
            <v>077-583339</v>
          </cell>
        </row>
        <row r="202">
          <cell r="B202" t="str">
            <v>คมจักรยานยนต์</v>
          </cell>
          <cell r="C202" t="str">
            <v>91/1 ม.1 ต.โนนปอแดง</v>
          </cell>
          <cell r="D202" t="str">
            <v>อ.ผาขาว</v>
          </cell>
          <cell r="E202" t="str">
            <v>เลย</v>
          </cell>
          <cell r="F202" t="str">
            <v>042-818283</v>
          </cell>
          <cell r="G202" t="str">
            <v>09-2765427</v>
          </cell>
        </row>
        <row r="203">
          <cell r="B203" t="str">
            <v>คล่องงานการช่าง</v>
          </cell>
          <cell r="C203" t="str">
            <v>100 ม.2 ต.ผักปัง</v>
          </cell>
          <cell r="D203" t="str">
            <v>ภูเขียว</v>
          </cell>
          <cell r="E203" t="str">
            <v>ชัยภูมิ</v>
          </cell>
          <cell r="F203" t="str">
            <v>044-861507</v>
          </cell>
          <cell r="G203" t="str">
            <v/>
          </cell>
        </row>
        <row r="204">
          <cell r="B204" t="str">
            <v>คลังจักรยาน</v>
          </cell>
          <cell r="C204" t="str">
            <v>54 ถ.กันตัง ต.ทับเที่ยง</v>
          </cell>
          <cell r="D204" t="str">
            <v>เมือง</v>
          </cell>
          <cell r="E204" t="str">
            <v>ตรัง</v>
          </cell>
          <cell r="F204" t="str">
            <v>075-218886</v>
          </cell>
          <cell r="G204" t="str">
            <v/>
          </cell>
        </row>
        <row r="205">
          <cell r="B205" t="str">
            <v>คลังอุปกรณ์</v>
          </cell>
          <cell r="C205" t="str">
            <v>2/1 ม.1 ข้างตลาดสด 042-581287</v>
          </cell>
          <cell r="D205" t="str">
            <v>ท่าอุเทน</v>
          </cell>
          <cell r="E205" t="str">
            <v>นครพนม</v>
          </cell>
          <cell r="F205" t="str">
            <v>042-581161</v>
          </cell>
          <cell r="G205" t="str">
            <v/>
          </cell>
        </row>
        <row r="206">
          <cell r="B206" t="str">
            <v>คานาอัน</v>
          </cell>
          <cell r="C206" t="str">
            <v>462/50 ต.ท่าข้าม</v>
          </cell>
          <cell r="D206" t="str">
            <v>ชนแดน</v>
          </cell>
          <cell r="E206" t="str">
            <v>เพชรบูรณ์</v>
          </cell>
          <cell r="F206" t="str">
            <v>056-767106</v>
          </cell>
          <cell r="G206" t="str">
            <v/>
          </cell>
        </row>
        <row r="207">
          <cell r="B207" t="str">
            <v>คำภูจักรยาน</v>
          </cell>
          <cell r="C207" t="str">
            <v>95/7 ถ.อุดรฯ-เลย</v>
          </cell>
          <cell r="D207" t="str">
            <v>นาวัง</v>
          </cell>
          <cell r="E207" t="str">
            <v>หนองบัวลำภู</v>
          </cell>
          <cell r="F207" t="str">
            <v>042-363176</v>
          </cell>
          <cell r="G207" t="str">
            <v/>
          </cell>
        </row>
        <row r="208">
          <cell r="B208" t="str">
            <v>คุณเจี๊ยบ</v>
          </cell>
          <cell r="C208" t="str">
            <v>207/1 ม.1 ถ.เจริญศิลป์ บ้านยาง</v>
          </cell>
          <cell r="D208" t="str">
            <v>เกษตรสมบูรณ์</v>
          </cell>
          <cell r="E208" t="str">
            <v>ชัยภูมิ</v>
          </cell>
          <cell r="F208" t="str">
            <v>044-869054</v>
          </cell>
          <cell r="G208" t="str">
            <v/>
          </cell>
        </row>
        <row r="209">
          <cell r="B209" t="str">
            <v>คุณเฉลิม โพธ์ศรี</v>
          </cell>
          <cell r="C209" t="str">
            <v>86 ม.16 ต.อากาศอำนวย</v>
          </cell>
          <cell r="D209" t="str">
            <v>อากาศอำนวย</v>
          </cell>
          <cell r="E209" t="str">
            <v>สกลนคร</v>
          </cell>
          <cell r="F209" t="str">
            <v>042-798027</v>
          </cell>
          <cell r="G209" t="str">
            <v/>
          </cell>
        </row>
        <row r="210">
          <cell r="B210" t="str">
            <v>คุณเดช</v>
          </cell>
          <cell r="C210" t="str">
            <v/>
          </cell>
          <cell r="D210" t="str">
            <v/>
          </cell>
          <cell r="E210" t="str">
            <v>กรุงเทพฯ</v>
          </cell>
          <cell r="F210" t="str">
            <v/>
          </cell>
          <cell r="G210" t="str">
            <v/>
          </cell>
        </row>
        <row r="211">
          <cell r="B211" t="str">
            <v>คุณโส่ย</v>
          </cell>
          <cell r="C211" t="str">
            <v>81/42 ม.4 บางมด</v>
          </cell>
          <cell r="D211" t="str">
            <v>จอมทอง</v>
          </cell>
          <cell r="E211" t="str">
            <v>กรุงเทพฯ</v>
          </cell>
          <cell r="F211" t="str">
            <v>087-6028956</v>
          </cell>
          <cell r="G211" t="str">
            <v/>
          </cell>
        </row>
        <row r="212">
          <cell r="B212" t="str">
            <v>คุณทองสุข</v>
          </cell>
          <cell r="C212" t="str">
            <v>109 บ้านแม่ข่า ต.แม่ข่า</v>
          </cell>
          <cell r="D212" t="str">
            <v>ฝาง</v>
          </cell>
          <cell r="E212" t="str">
            <v>เชียงใหม่</v>
          </cell>
          <cell r="F212" t="str">
            <v>053-884545</v>
          </cell>
          <cell r="G212" t="str">
            <v/>
          </cell>
        </row>
        <row r="213">
          <cell r="B213" t="str">
            <v>คุณนันท์ DMX</v>
          </cell>
          <cell r="C213" t="str">
            <v>เลขที่ 693/1 หมู่ 3 ต.เวียงพางคำ</v>
          </cell>
          <cell r="D213" t="str">
            <v>แม่สาย</v>
          </cell>
          <cell r="E213" t="str">
            <v>เชียงราย</v>
          </cell>
          <cell r="F213" t="str">
            <v>081-8843522</v>
          </cell>
          <cell r="G213" t="str">
            <v>053-640547</v>
          </cell>
        </row>
        <row r="214">
          <cell r="B214" t="str">
            <v>คุณพิมล</v>
          </cell>
          <cell r="C214" t="str">
            <v>196 ม.5 ต.ทรัพย์อนันต์ (เนิน 491)</v>
          </cell>
          <cell r="D214" t="str">
            <v>ท่าแซะ</v>
          </cell>
          <cell r="E214" t="str">
            <v>ชุมพร</v>
          </cell>
          <cell r="F214" t="str">
            <v>09-8719618</v>
          </cell>
          <cell r="G214" t="str">
            <v>077-613059.</v>
          </cell>
        </row>
        <row r="215">
          <cell r="B215" t="str">
            <v>คุณละมูล คำศิลา</v>
          </cell>
          <cell r="C215" t="str">
            <v>58 ม.11 (ตรงข้ามร้านประทานพร)</v>
          </cell>
          <cell r="D215" t="str">
            <v>หนองกรุงศรี</v>
          </cell>
          <cell r="E215" t="str">
            <v>กาฬสินธุ์</v>
          </cell>
          <cell r="F215" t="str">
            <v>09-8638654</v>
          </cell>
          <cell r="G215" t="str">
            <v/>
          </cell>
        </row>
        <row r="216">
          <cell r="B216" t="str">
            <v>คุณวีรยุทธ ส่งต่อ ร้านจิรภา</v>
          </cell>
          <cell r="C216" t="str">
            <v/>
          </cell>
          <cell r="D216" t="str">
            <v>อ.ศรีธาตุ</v>
          </cell>
          <cell r="E216" t="str">
            <v>อุดรธานี</v>
          </cell>
          <cell r="F216" t="str">
            <v/>
          </cell>
          <cell r="G216" t="str">
            <v/>
          </cell>
        </row>
        <row r="217">
          <cell r="B217" t="str">
            <v>คุณากร</v>
          </cell>
          <cell r="C217" t="str">
            <v>439 ม.1 ถ.ประชาชื่น</v>
          </cell>
          <cell r="D217" t="str">
            <v>ห้วยแถลง</v>
          </cell>
          <cell r="E217" t="str">
            <v>นครราชสีมา</v>
          </cell>
          <cell r="F217" t="str">
            <v>044-391193</v>
          </cell>
          <cell r="G217" t="str">
            <v/>
          </cell>
        </row>
        <row r="218">
          <cell r="B218" t="str">
            <v>คุระเครื่องเรือน</v>
          </cell>
          <cell r="C218" t="str">
            <v>58 ม.1 ถ.เพชรเกษม ต.คุระ</v>
          </cell>
          <cell r="D218" t="str">
            <v>คุระบุรี</v>
          </cell>
          <cell r="E218" t="str">
            <v>พังงา</v>
          </cell>
          <cell r="F218" t="str">
            <v>076-491299</v>
          </cell>
          <cell r="G218" t="str">
            <v/>
          </cell>
        </row>
        <row r="219">
          <cell r="B219" t="str">
            <v>คูย่งล้ง</v>
          </cell>
          <cell r="C219" t="str">
            <v>478-480 ถ.สุนทรวิจิตร ต. ในเมือง</v>
          </cell>
          <cell r="D219" t="str">
            <v>เมือง</v>
          </cell>
          <cell r="E219" t="str">
            <v>นครพนม</v>
          </cell>
          <cell r="F219" t="str">
            <v>042-511118</v>
          </cell>
          <cell r="G219" t="str">
            <v/>
          </cell>
        </row>
        <row r="220">
          <cell r="B220" t="str">
            <v>ง่วนหลี</v>
          </cell>
          <cell r="C220" t="str">
            <v>72-76 ถ.แสงชูโต</v>
          </cell>
          <cell r="D220" t="str">
            <v>บ้านโป่ง</v>
          </cell>
          <cell r="E220" t="str">
            <v>ราชบุรี</v>
          </cell>
          <cell r="F220" t="str">
            <v>032-211304</v>
          </cell>
          <cell r="G220" t="str">
            <v/>
          </cell>
        </row>
        <row r="221">
          <cell r="B221" t="str">
            <v>ง้วนฮวด</v>
          </cell>
          <cell r="C221" t="str">
            <v>248-250 ต.สีคิ้ว</v>
          </cell>
          <cell r="D221" t="str">
            <v>สีคิ้ว</v>
          </cell>
          <cell r="E221" t="str">
            <v>นครราชสีมา</v>
          </cell>
          <cell r="F221" t="str">
            <v>089-1667288</v>
          </cell>
          <cell r="G221" t="str">
            <v/>
          </cell>
        </row>
        <row r="222">
          <cell r="B222" t="str">
            <v>จ. การช่าง</v>
          </cell>
          <cell r="C222" t="str">
            <v>41/2 ม.4 ต.บ้านนา</v>
          </cell>
          <cell r="D222" t="str">
            <v>บ้านนา</v>
          </cell>
          <cell r="E222" t="str">
            <v>นครนายก</v>
          </cell>
          <cell r="F222" t="str">
            <v>01-8626511</v>
          </cell>
          <cell r="G222" t="str">
            <v>037-381076</v>
          </cell>
        </row>
        <row r="223">
          <cell r="B223" t="str">
            <v>จ. จักรยาน</v>
          </cell>
          <cell r="C223" t="str">
            <v>82/7 ถ.ศรีรองเมือง</v>
          </cell>
          <cell r="D223" t="str">
            <v>เมือง</v>
          </cell>
          <cell r="E223" t="str">
            <v>จันทบุรี</v>
          </cell>
          <cell r="F223" t="str">
            <v>039-311159,</v>
          </cell>
          <cell r="G223" t="str">
            <v>039-313081</v>
          </cell>
        </row>
        <row r="224">
          <cell r="B224" t="str">
            <v>จ. พาณิชย์</v>
          </cell>
          <cell r="C224" t="str">
            <v/>
          </cell>
          <cell r="D224" t="str">
            <v>เมือง</v>
          </cell>
          <cell r="E224" t="str">
            <v>ชลบุรี</v>
          </cell>
          <cell r="F224" t="str">
            <v>038-271118</v>
          </cell>
          <cell r="G224" t="str">
            <v/>
          </cell>
        </row>
        <row r="225">
          <cell r="B225" t="str">
            <v>จ.เจริญมอเตอร์</v>
          </cell>
          <cell r="C225" t="str">
            <v>8 ม.2 ถ.นิตโย</v>
          </cell>
          <cell r="D225" t="str">
            <v>หนองหาน</v>
          </cell>
          <cell r="E225" t="str">
            <v>อุดรธานี</v>
          </cell>
          <cell r="F225" t="str">
            <v>01-8716648</v>
          </cell>
          <cell r="G225" t="str">
            <v/>
          </cell>
        </row>
        <row r="226">
          <cell r="B226" t="str">
            <v>จรัญพานิช</v>
          </cell>
          <cell r="C226" t="str">
            <v/>
          </cell>
          <cell r="D226" t="str">
            <v>เมือง</v>
          </cell>
          <cell r="E226" t="str">
            <v>ปราจีนบุรี</v>
          </cell>
          <cell r="F226" t="str">
            <v>037-313700</v>
          </cell>
          <cell r="G226" t="str">
            <v/>
          </cell>
        </row>
        <row r="227">
          <cell r="B227" t="str">
            <v>จรินทร์จักรยาน</v>
          </cell>
          <cell r="C227" t="str">
            <v>113/11 ม.1 ตลาดพุทไธสง</v>
          </cell>
          <cell r="D227" t="str">
            <v>พุทไธสง</v>
          </cell>
          <cell r="E227" t="str">
            <v>บุรีรัมย์</v>
          </cell>
          <cell r="F227" t="str">
            <v>044-655123</v>
          </cell>
          <cell r="G227" t="str">
            <v/>
          </cell>
        </row>
        <row r="228">
          <cell r="B228" t="str">
            <v>จอมพลอะไหล่</v>
          </cell>
          <cell r="C228" t="str">
            <v>400 ถ.จอมพล</v>
          </cell>
          <cell r="D228" t="str">
            <v>เมือง</v>
          </cell>
          <cell r="E228" t="str">
            <v>นครราชสีมา</v>
          </cell>
          <cell r="F228" t="str">
            <v>044-244015</v>
          </cell>
          <cell r="G228" t="str">
            <v>021-9552838</v>
          </cell>
        </row>
        <row r="229">
          <cell r="B229" t="str">
            <v>จักรกะไบด์</v>
          </cell>
          <cell r="C229" t="str">
            <v>112/72-73 ถ. เฉลิมพระเกียรติ</v>
          </cell>
          <cell r="D229" t="str">
            <v>เมือง</v>
          </cell>
          <cell r="E229" t="str">
            <v>ระนอง</v>
          </cell>
          <cell r="F229" t="str">
            <v>077-812908</v>
          </cell>
          <cell r="G229" t="str">
            <v>01-8914811</v>
          </cell>
        </row>
        <row r="230">
          <cell r="B230" t="str">
            <v>จักรพันธ์</v>
          </cell>
          <cell r="C230" t="str">
            <v>55-57 ถ.พระสังข์</v>
          </cell>
          <cell r="D230" t="str">
            <v>อ.ตาคลี</v>
          </cell>
          <cell r="E230" t="str">
            <v>นครสวรรค์</v>
          </cell>
          <cell r="F230" t="str">
            <v>056-261318</v>
          </cell>
          <cell r="G230" t="str">
            <v/>
          </cell>
        </row>
        <row r="231">
          <cell r="B231" t="str">
            <v>จักรยานไทย</v>
          </cell>
          <cell r="C231" t="str">
            <v>240 ถ.หน้าพระ</v>
          </cell>
          <cell r="D231" t="str">
            <v>เมือง</v>
          </cell>
          <cell r="E231" t="str">
            <v>นครปฐม</v>
          </cell>
          <cell r="F231" t="str">
            <v>034-250336</v>
          </cell>
          <cell r="G231" t="str">
            <v/>
          </cell>
        </row>
        <row r="232">
          <cell r="B232" t="str">
            <v>จักรยานไทรงาม</v>
          </cell>
          <cell r="C232" t="str">
            <v>231 ม.5 ต.ไทรงาม</v>
          </cell>
          <cell r="D232" t="str">
            <v>ไทรงาม</v>
          </cell>
          <cell r="E232" t="str">
            <v>กำแพงเพชร</v>
          </cell>
          <cell r="F232" t="str">
            <v>055-737023</v>
          </cell>
          <cell r="G232" t="str">
            <v/>
          </cell>
        </row>
        <row r="233">
          <cell r="B233" t="str">
            <v>จักรยานไพบูลย์</v>
          </cell>
          <cell r="C233" t="str">
            <v>361 ต.อินทร์บุรี</v>
          </cell>
          <cell r="D233" t="str">
            <v>อินทร์บุรี</v>
          </cell>
          <cell r="E233" t="str">
            <v>สิงห์บุรี</v>
          </cell>
          <cell r="F233" t="str">
            <v>036-581263</v>
          </cell>
          <cell r="G233" t="str">
            <v/>
          </cell>
        </row>
        <row r="234">
          <cell r="B234" t="str">
            <v>จักรยานชาญชัย</v>
          </cell>
          <cell r="C234" t="str">
            <v>40/5 ถ.เขาเงิน</v>
          </cell>
          <cell r="D234" t="str">
            <v>หลังสวน</v>
          </cell>
          <cell r="E234" t="str">
            <v>ชุมพร</v>
          </cell>
          <cell r="F234" t="str">
            <v>077-541676</v>
          </cell>
          <cell r="G234" t="str">
            <v/>
          </cell>
        </row>
        <row r="235">
          <cell r="B235" t="str">
            <v>จักรยานศิลป์</v>
          </cell>
          <cell r="C235" t="str">
            <v>144-146 ถ.ราชดำเนิน</v>
          </cell>
          <cell r="D235" t="str">
            <v>เมือง</v>
          </cell>
          <cell r="E235" t="str">
            <v>กำแพงเพชร</v>
          </cell>
          <cell r="F235" t="str">
            <v>055-714097</v>
          </cell>
          <cell r="G235" t="str">
            <v/>
          </cell>
        </row>
        <row r="236">
          <cell r="B236" t="str">
            <v>จักรยานองครักษ์</v>
          </cell>
          <cell r="C236" t="str">
            <v>409 ม. 1 ต. องครักษ์</v>
          </cell>
          <cell r="D236" t="str">
            <v>อ. องครักษ์</v>
          </cell>
          <cell r="E236" t="str">
            <v>นครนายก</v>
          </cell>
          <cell r="F236" t="str">
            <v>037-322800</v>
          </cell>
          <cell r="G236" t="str">
            <v/>
          </cell>
        </row>
        <row r="237">
          <cell r="B237" t="str">
            <v>จารุจักรยาน</v>
          </cell>
          <cell r="C237" t="str">
            <v>231 อยู่ก่อนถึงแมคโคร</v>
          </cell>
          <cell r="D237" t="str">
            <v>หาดใหญ่</v>
          </cell>
          <cell r="E237" t="str">
            <v>สงขลา</v>
          </cell>
          <cell r="F237" t="str">
            <v>074-438644</v>
          </cell>
          <cell r="G237" t="str">
            <v>01-8966056</v>
          </cell>
        </row>
        <row r="238">
          <cell r="B238" t="str">
            <v>จิ่งจักรยาน</v>
          </cell>
          <cell r="C238" t="str">
            <v>171 ม.5 ต.เชียงกลาง</v>
          </cell>
          <cell r="D238" t="str">
            <v>เชียงกลาง</v>
          </cell>
          <cell r="E238" t="str">
            <v>น่าน</v>
          </cell>
          <cell r="F238" t="str">
            <v>054-797010</v>
          </cell>
          <cell r="G238" t="str">
            <v/>
          </cell>
        </row>
        <row r="239">
          <cell r="B239" t="str">
            <v>จินตนาพร</v>
          </cell>
          <cell r="C239" t="str">
            <v>76 ม.7 ต.พรเจริญ</v>
          </cell>
          <cell r="D239" t="str">
            <v>พรเจริญ</v>
          </cell>
          <cell r="E239" t="str">
            <v>หนองคาย</v>
          </cell>
          <cell r="F239" t="str">
            <v>042-487492</v>
          </cell>
          <cell r="G239" t="str">
            <v/>
          </cell>
        </row>
        <row r="240">
          <cell r="B240" t="str">
            <v>จิรพงษ์การช่าง 2</v>
          </cell>
          <cell r="C240" t="str">
            <v>26-27 ม.6 ต.ลาดยาว</v>
          </cell>
          <cell r="D240" t="str">
            <v>ลาดยาว</v>
          </cell>
          <cell r="E240" t="str">
            <v>นครสวรรค์</v>
          </cell>
          <cell r="F240" t="str">
            <v>056-272050</v>
          </cell>
          <cell r="G240" t="str">
            <v/>
          </cell>
        </row>
        <row r="241">
          <cell r="B241" t="str">
            <v>จิรภา เบียผือ</v>
          </cell>
          <cell r="C241" t="str">
            <v>238 หมู่ 8 บ้านศรีสง่าเมือง</v>
          </cell>
          <cell r="D241" t="str">
            <v>ศรีธาตุ</v>
          </cell>
          <cell r="E241" t="str">
            <v>อุดรธานี</v>
          </cell>
          <cell r="F241" t="str">
            <v>042-382459</v>
          </cell>
          <cell r="G241" t="str">
            <v/>
          </cell>
        </row>
        <row r="242">
          <cell r="B242" t="str">
            <v>จิระพานิช</v>
          </cell>
          <cell r="C242" t="str">
            <v>42/4 ถ.เทศบาล 4</v>
          </cell>
          <cell r="D242" t="str">
            <v>บัวใหญ่</v>
          </cell>
          <cell r="E242" t="str">
            <v>นครราชสีมา</v>
          </cell>
          <cell r="F242" t="str">
            <v>044-461958</v>
          </cell>
          <cell r="G242" t="str">
            <v/>
          </cell>
        </row>
        <row r="243">
          <cell r="B243" t="str">
            <v>จีรเกียรติ</v>
          </cell>
          <cell r="C243" t="str">
            <v>356 ม.1 ถ.เชียงราย-เชียงใหม่</v>
          </cell>
          <cell r="D243" t="str">
            <v>เวียงป่าเป้า</v>
          </cell>
          <cell r="E243" t="str">
            <v>เชียงราย</v>
          </cell>
          <cell r="F243" t="str">
            <v>053-781060</v>
          </cell>
          <cell r="G243" t="str">
            <v/>
          </cell>
        </row>
        <row r="244">
          <cell r="B244" t="str">
            <v>จึงพาณิชย์</v>
          </cell>
          <cell r="C244" t="str">
            <v>457 ม.1 ต.ขามสะแกแสง</v>
          </cell>
          <cell r="D244" t="str">
            <v>ขามสะแกแสง</v>
          </cell>
          <cell r="E244" t="str">
            <v>นครราชสีมา</v>
          </cell>
          <cell r="F244" t="str">
            <v>044-385196</v>
          </cell>
          <cell r="G244" t="str">
            <v/>
          </cell>
        </row>
        <row r="245">
          <cell r="B245" t="str">
            <v>ฉลองการช่าง</v>
          </cell>
          <cell r="C245" t="str">
            <v>92/1 หมู่ 1 ต.คลองตาล</v>
          </cell>
          <cell r="D245" t="str">
            <v>ศรีสำโรง</v>
          </cell>
          <cell r="E245" t="str">
            <v>สุโขทัย</v>
          </cell>
          <cell r="F245" t="str">
            <v>055-681223</v>
          </cell>
          <cell r="G245" t="str">
            <v/>
          </cell>
        </row>
        <row r="246">
          <cell r="B246" t="str">
            <v>ฉอยเซน</v>
          </cell>
          <cell r="C246" t="str">
            <v>73-75 ถ.นิวาศ</v>
          </cell>
          <cell r="D246" t="str">
            <v>เมือง</v>
          </cell>
          <cell r="E246" t="str">
            <v>พัทลุง</v>
          </cell>
          <cell r="F246" t="str">
            <v>074-611963</v>
          </cell>
          <cell r="G246" t="str">
            <v>01-6904723</v>
          </cell>
        </row>
        <row r="247">
          <cell r="B247" t="str">
            <v>ช. ชุมพร</v>
          </cell>
          <cell r="C247" t="str">
            <v>281 ถ.โกสีย์ (ตรงข้ามตลาดบ่อนไก่)</v>
          </cell>
          <cell r="D247" t="str">
            <v>เมือง</v>
          </cell>
          <cell r="E247" t="str">
            <v>นครสวรรค์</v>
          </cell>
          <cell r="F247" t="str">
            <v>056-212639,</v>
          </cell>
          <cell r="G247" t="str">
            <v>01-7072918</v>
          </cell>
        </row>
        <row r="248">
          <cell r="B248" t="str">
            <v>ช. บุญเลิศ</v>
          </cell>
          <cell r="C248" t="str">
            <v>777 ถ.ขุนสวรรค์</v>
          </cell>
          <cell r="D248" t="str">
            <v>เมือง</v>
          </cell>
          <cell r="E248" t="str">
            <v>สิงห์บุรี</v>
          </cell>
          <cell r="F248" t="str">
            <v>036-511674</v>
          </cell>
          <cell r="G248" t="str">
            <v/>
          </cell>
        </row>
        <row r="249">
          <cell r="B249" t="str">
            <v>ช. พาณิชย์</v>
          </cell>
          <cell r="C249" t="str">
            <v>109 ถ.สุระสงคราม ต.ท่าหิน</v>
          </cell>
          <cell r="D249" t="str">
            <v>เมือง</v>
          </cell>
          <cell r="E249" t="str">
            <v>ลพบุรี</v>
          </cell>
          <cell r="F249" t="str">
            <v>036-411182</v>
          </cell>
          <cell r="G249" t="str">
            <v>036-420634,</v>
          </cell>
        </row>
        <row r="250">
          <cell r="B250" t="str">
            <v>ช.เจริญยนต์</v>
          </cell>
          <cell r="C250" t="str">
            <v>49/23 ถ.ราษฎรพลี</v>
          </cell>
          <cell r="D250" t="str">
            <v>ชะอำ</v>
          </cell>
          <cell r="E250" t="str">
            <v>เพชรบุรี</v>
          </cell>
          <cell r="F250" t="str">
            <v>081-4435721</v>
          </cell>
          <cell r="G250" t="str">
            <v>479458</v>
          </cell>
        </row>
        <row r="251">
          <cell r="B251" t="str">
            <v>ช.ทวีพานิชย์</v>
          </cell>
          <cell r="C251" t="str">
            <v>198 ถ.พานิชย์จำรูญ ต.หนองบัวแดง</v>
          </cell>
          <cell r="D251" t="str">
            <v>อ.หนองบัวแดง</v>
          </cell>
          <cell r="E251" t="str">
            <v>ชัยภูมิ</v>
          </cell>
          <cell r="F251" t="str">
            <v>044-872038</v>
          </cell>
          <cell r="G251" t="str">
            <v/>
          </cell>
        </row>
        <row r="252">
          <cell r="B252" t="str">
            <v>ช.ประยูร</v>
          </cell>
          <cell r="C252" t="str">
            <v>249/6-7 ถ.ชัยภูมิบ้านเข้ว ต.ในเมือง</v>
          </cell>
          <cell r="D252" t="str">
            <v>เมือง</v>
          </cell>
          <cell r="E252" t="str">
            <v>ชัยภูมิ</v>
          </cell>
          <cell r="F252" t="str">
            <v>044-813195</v>
          </cell>
          <cell r="G252" t="str">
            <v>081-5485866</v>
          </cell>
        </row>
        <row r="253">
          <cell r="B253" t="str">
            <v>ช.พาณิชย์</v>
          </cell>
          <cell r="C253" t="str">
            <v>751/1 ต.ท่าม่วง</v>
          </cell>
          <cell r="D253" t="str">
            <v>ท่าม่วง</v>
          </cell>
          <cell r="E253" t="str">
            <v>กาญจนบุรี</v>
          </cell>
          <cell r="F253" t="str">
            <v>034-611680</v>
          </cell>
          <cell r="G253" t="str">
            <v>01-1940420</v>
          </cell>
        </row>
        <row r="254">
          <cell r="B254" t="str">
            <v>ชนินทร</v>
          </cell>
          <cell r="C254" t="str">
            <v>110/13 ม.9 ต.ทุ่งสุขลา</v>
          </cell>
          <cell r="D254" t="str">
            <v>ศรีราชา</v>
          </cell>
          <cell r="E254" t="str">
            <v>ชลบุรี</v>
          </cell>
          <cell r="F254" t="str">
            <v>038-494286</v>
          </cell>
          <cell r="G254" t="str">
            <v/>
          </cell>
        </row>
        <row r="255">
          <cell r="B255" t="str">
            <v>ชัยเจริญจักรยาน</v>
          </cell>
          <cell r="C255" t="str">
            <v>88-89 ม.7 ต.ทรัพย์สมอทอด</v>
          </cell>
          <cell r="D255" t="str">
            <v>บึงสามพัน</v>
          </cell>
          <cell r="E255" t="str">
            <v>เพชรบูรณ์</v>
          </cell>
          <cell r="F255" t="str">
            <v>056-731138</v>
          </cell>
          <cell r="G255" t="str">
            <v>07-2048010</v>
          </cell>
        </row>
        <row r="256">
          <cell r="B256" t="str">
            <v>ชัยจักรยาน</v>
          </cell>
          <cell r="C256" t="str">
            <v>1308/2 ถ.สุขเกษม</v>
          </cell>
          <cell r="D256" t="str">
            <v>เมือง</v>
          </cell>
          <cell r="E256" t="str">
            <v>สกลนคร</v>
          </cell>
          <cell r="F256" t="str">
            <v>042-711535</v>
          </cell>
          <cell r="G256" t="str">
            <v/>
          </cell>
        </row>
        <row r="257">
          <cell r="B257" t="str">
            <v>ชัยชนะจักรยาน</v>
          </cell>
          <cell r="C257" t="str">
            <v>42/3 (ตลาดเขาตีบ) ต. ทุ่งตะไคร้</v>
          </cell>
          <cell r="D257" t="str">
            <v>ทุ่งตะโก</v>
          </cell>
          <cell r="E257" t="str">
            <v>ชุมพร</v>
          </cell>
          <cell r="F257" t="str">
            <v>07-8890353</v>
          </cell>
          <cell r="G257" t="str">
            <v/>
          </cell>
        </row>
        <row r="258">
          <cell r="B258" t="str">
            <v>ชัยพฤกษ์</v>
          </cell>
          <cell r="C258" t="str">
            <v/>
          </cell>
          <cell r="D258" t="str">
            <v>อ.นาแก</v>
          </cell>
          <cell r="E258" t="str">
            <v>นครพนม</v>
          </cell>
          <cell r="F258" t="str">
            <v/>
          </cell>
          <cell r="G258" t="str">
            <v/>
          </cell>
        </row>
        <row r="259">
          <cell r="B259" t="str">
            <v>ชัยพาณิชย์</v>
          </cell>
          <cell r="C259" t="str">
            <v>186 ถ.ประชาสัมพันธ์ ต.ในเมือง</v>
          </cell>
          <cell r="D259" t="str">
            <v>เมือง</v>
          </cell>
          <cell r="E259" t="str">
            <v>ยโสธร</v>
          </cell>
          <cell r="F259" t="str">
            <v>045-711860</v>
          </cell>
          <cell r="G259" t="str">
            <v>01-6609480</v>
          </cell>
        </row>
        <row r="260">
          <cell r="B260" t="str">
            <v>ชัยมงคล</v>
          </cell>
          <cell r="C260" t="str">
            <v>420/7 ถ.ขุขันธ์</v>
          </cell>
          <cell r="D260" t="str">
            <v>ขุขันธ์</v>
          </cell>
          <cell r="E260" t="str">
            <v>ศรีสะเกษ</v>
          </cell>
          <cell r="F260" t="str">
            <v>01-8761387</v>
          </cell>
          <cell r="G260" t="str">
            <v>045-630326</v>
          </cell>
        </row>
        <row r="261">
          <cell r="B261" t="str">
            <v>ชัยมอเตอร์</v>
          </cell>
          <cell r="C261" t="str">
            <v>19.2 ต.หนองบัว</v>
          </cell>
          <cell r="D261" t="str">
            <v>ไชยปราการ</v>
          </cell>
          <cell r="E261" t="str">
            <v>เชียงใหม่</v>
          </cell>
          <cell r="F261" t="str">
            <v>053-457114</v>
          </cell>
          <cell r="G261" t="str">
            <v>053-870104</v>
          </cell>
        </row>
        <row r="262">
          <cell r="B262" t="str">
            <v>ชัยยง</v>
          </cell>
          <cell r="C262" t="str">
            <v>55/9 หมู่ 4 ถ.สุขุมวิท ต.บางทราย</v>
          </cell>
          <cell r="D262" t="str">
            <v>เมือง</v>
          </cell>
          <cell r="E262" t="str">
            <v>ชลบุรี</v>
          </cell>
          <cell r="F262" t="str">
            <v/>
          </cell>
          <cell r="G262" t="str">
            <v/>
          </cell>
        </row>
        <row r="263">
          <cell r="B263" t="str">
            <v>ชัยยนต์</v>
          </cell>
          <cell r="C263" t="str">
            <v>1459/10-11 ต.จำเริญวิถี</v>
          </cell>
          <cell r="D263" t="str">
            <v>เมือง</v>
          </cell>
          <cell r="E263" t="str">
            <v>นครศรีธรรมราช</v>
          </cell>
          <cell r="F263" t="str">
            <v>075-356992</v>
          </cell>
          <cell r="G263" t="str">
            <v/>
          </cell>
        </row>
        <row r="264">
          <cell r="B264" t="str">
            <v>ชัยยนต์มอเตอร์</v>
          </cell>
          <cell r="C264" t="str">
            <v>146-146/1 ต.บ้านหมอ</v>
          </cell>
          <cell r="D264" t="str">
            <v>บ้านหมอ</v>
          </cell>
          <cell r="E264" t="str">
            <v>สระบุรี</v>
          </cell>
          <cell r="F264" t="str">
            <v>036-300885-6</v>
          </cell>
          <cell r="G264" t="str">
            <v/>
          </cell>
        </row>
        <row r="265">
          <cell r="B265" t="str">
            <v>ชัยวัฒน์</v>
          </cell>
          <cell r="C265" t="str">
            <v>388-390 ถ.สิโรรส</v>
          </cell>
          <cell r="D265" t="str">
            <v>เมือง</v>
          </cell>
          <cell r="E265" t="str">
            <v>ยะลา</v>
          </cell>
          <cell r="F265" t="str">
            <v>073-212949</v>
          </cell>
          <cell r="G265" t="str">
            <v>073-240447</v>
          </cell>
        </row>
        <row r="266">
          <cell r="B266" t="str">
            <v>ชัยสวัสดิ์จักรยาน</v>
          </cell>
          <cell r="C266" t="str">
            <v>288/75 ถ.ชยางกูร ต.ในเมือง</v>
          </cell>
          <cell r="D266" t="str">
            <v>เมือง</v>
          </cell>
          <cell r="E266" t="str">
            <v>อำนาจเจริญ</v>
          </cell>
          <cell r="F266" t="str">
            <v>045-451179</v>
          </cell>
          <cell r="G266" t="str">
            <v/>
          </cell>
        </row>
        <row r="267">
          <cell r="B267" t="str">
            <v>ช่างก๊อต</v>
          </cell>
          <cell r="C267" t="str">
            <v>727 ม.4 ต.คลองขลุง</v>
          </cell>
          <cell r="D267" t="str">
            <v>คลองขลุง</v>
          </cell>
          <cell r="E267" t="str">
            <v>กำแพงเพชร</v>
          </cell>
          <cell r="F267" t="str">
            <v>055-728100</v>
          </cell>
          <cell r="G267" t="str">
            <v/>
          </cell>
        </row>
        <row r="268">
          <cell r="B268" t="str">
            <v>ช่างมาจักรยาน</v>
          </cell>
          <cell r="C268" t="str">
            <v>148/1 ม.5 ถ.สายเอก</v>
          </cell>
          <cell r="D268" t="str">
            <v>นิคมคำสร้อย</v>
          </cell>
          <cell r="E268" t="str">
            <v>มุกดาหาร</v>
          </cell>
          <cell r="F268" t="str">
            <v>042-681082</v>
          </cell>
          <cell r="G268" t="str">
            <v/>
          </cell>
        </row>
        <row r="269">
          <cell r="B269" t="str">
            <v>ช่างยาว</v>
          </cell>
          <cell r="C269" t="str">
            <v>127 ม.2</v>
          </cell>
          <cell r="D269" t="str">
            <v>เรณูนคร</v>
          </cell>
          <cell r="E269" t="str">
            <v>นครพนม</v>
          </cell>
          <cell r="F269" t="str">
            <v>042-579051</v>
          </cell>
          <cell r="G269" t="str">
            <v/>
          </cell>
        </row>
        <row r="270">
          <cell r="B270" t="str">
            <v>ช่างวิทย์</v>
          </cell>
          <cell r="C270" t="str">
            <v>ม.5 ตลาดบางน้ำเปรี้ยว</v>
          </cell>
          <cell r="D270" t="str">
            <v>บางน้ำเปรี้ยว</v>
          </cell>
          <cell r="E270" t="str">
            <v>ฉะเชิงเทรา</v>
          </cell>
          <cell r="F270" t="str">
            <v>038-581486</v>
          </cell>
          <cell r="G270" t="str">
            <v/>
          </cell>
        </row>
        <row r="271">
          <cell r="B271" t="str">
            <v>ช่างอุดม</v>
          </cell>
          <cell r="C271" t="str">
            <v>316 ซ.ร่วมพัฒนา 33 อนุสารีย์</v>
          </cell>
          <cell r="D271" t="str">
            <v>บางเขน</v>
          </cell>
          <cell r="E271" t="str">
            <v>กรุงเทพ</v>
          </cell>
          <cell r="F271" t="str">
            <v>089-4801616</v>
          </cell>
          <cell r="G271" t="str">
            <v/>
          </cell>
        </row>
        <row r="272">
          <cell r="B272" t="str">
            <v>ชาญชัย</v>
          </cell>
          <cell r="C272" t="str">
            <v>127 ถ.ศรีพุนพิน</v>
          </cell>
          <cell r="D272" t="str">
            <v>พุนพิน</v>
          </cell>
          <cell r="E272" t="str">
            <v>สุราษฎร์ธานี</v>
          </cell>
          <cell r="F272" t="str">
            <v>077-312023</v>
          </cell>
          <cell r="G272" t="str">
            <v/>
          </cell>
        </row>
        <row r="273">
          <cell r="B273" t="str">
            <v>ชำนาญยนต์</v>
          </cell>
          <cell r="C273" t="str">
            <v>419 ม.6</v>
          </cell>
          <cell r="D273" t="str">
            <v>สุวรรณคูหา</v>
          </cell>
          <cell r="E273" t="str">
            <v>หนองบัวลำภู</v>
          </cell>
          <cell r="F273" t="str">
            <v>042-37252</v>
          </cell>
          <cell r="G273" t="str">
            <v/>
          </cell>
        </row>
        <row r="274">
          <cell r="B274" t="str">
            <v>ชิงชัยจักรยาน</v>
          </cell>
          <cell r="C274" t="str">
            <v>082-083 ม.1 ต.ลำนารายณ์</v>
          </cell>
          <cell r="D274" t="str">
            <v>ชัยบาดาล</v>
          </cell>
          <cell r="E274" t="str">
            <v>ลพบุรี</v>
          </cell>
          <cell r="F274" t="str">
            <v>036-461248</v>
          </cell>
          <cell r="G274" t="str">
            <v/>
          </cell>
        </row>
        <row r="275">
          <cell r="B275" t="str">
            <v>ชินรักษ์</v>
          </cell>
          <cell r="C275" t="str">
            <v>33/3 ถ.วจี</v>
          </cell>
          <cell r="D275" t="str">
            <v>หลุ่มสัก</v>
          </cell>
          <cell r="E275" t="str">
            <v>เพชรบูรณ์</v>
          </cell>
          <cell r="F275" t="str">
            <v>056-704842</v>
          </cell>
          <cell r="G275" t="str">
            <v/>
          </cell>
        </row>
        <row r="276">
          <cell r="B276" t="str">
            <v>ชุมพร</v>
          </cell>
          <cell r="C276" t="str">
            <v>14/13 ถ.คูเมือง</v>
          </cell>
          <cell r="D276" t="str">
            <v>เมือง</v>
          </cell>
          <cell r="E276" t="str">
            <v>บุรีรัมย์</v>
          </cell>
          <cell r="F276" t="str">
            <v>044-625491</v>
          </cell>
          <cell r="G276" t="str">
            <v/>
          </cell>
        </row>
        <row r="277">
          <cell r="B277" t="str">
            <v>ซ. สหยนต์</v>
          </cell>
          <cell r="C277" t="str">
            <v>27 หมู่ 10 ต.ห้วยไคร้</v>
          </cell>
          <cell r="D277" t="str">
            <v>แม่สาย</v>
          </cell>
          <cell r="E277" t="str">
            <v>เชียงราย</v>
          </cell>
          <cell r="F277" t="str">
            <v>053-763030</v>
          </cell>
          <cell r="G277" t="str">
            <v/>
          </cell>
        </row>
        <row r="278">
          <cell r="B278" t="str">
            <v>ซ่งกี่จักรยาน</v>
          </cell>
          <cell r="C278" t="str">
            <v/>
          </cell>
          <cell r="D278" t="str">
            <v>บ้านหมี่</v>
          </cell>
          <cell r="E278" t="str">
            <v>ลพบุรี</v>
          </cell>
          <cell r="F278" t="str">
            <v>036-471210</v>
          </cell>
          <cell r="G278" t="str">
            <v/>
          </cell>
        </row>
        <row r="279">
          <cell r="B279" t="str">
            <v>ซินเฮง</v>
          </cell>
          <cell r="C279" t="str">
            <v>23/5-6 ถ.คูเมือง หน้าตลาดเทศบาล 1</v>
          </cell>
          <cell r="D279" t="str">
            <v>เมือง</v>
          </cell>
          <cell r="E279" t="str">
            <v>บุรีรัมย์</v>
          </cell>
          <cell r="F279" t="str">
            <v>044-611852</v>
          </cell>
          <cell r="G279" t="str">
            <v/>
          </cell>
        </row>
        <row r="280">
          <cell r="B280" t="str">
            <v>ซินเฮียบฮวด</v>
          </cell>
          <cell r="C280" t="str">
            <v>54 ถ.เพชรเกษม</v>
          </cell>
          <cell r="D280" t="str">
            <v>เมือง</v>
          </cell>
          <cell r="E280" t="str">
            <v>พังงา</v>
          </cell>
          <cell r="F280" t="str">
            <v>076-411368</v>
          </cell>
          <cell r="G280" t="str">
            <v>01-6778654</v>
          </cell>
        </row>
        <row r="281">
          <cell r="B281" t="str">
            <v>ซีเกมส์เฟอร์นิเจอร์</v>
          </cell>
          <cell r="C281" t="str">
            <v>146/2 ถ.ปากชม-ศรีเชียงใหม่</v>
          </cell>
          <cell r="D281" t="str">
            <v>ปากชม</v>
          </cell>
          <cell r="E281" t="str">
            <v>เลย</v>
          </cell>
          <cell r="F281" t="str">
            <v>042-881142</v>
          </cell>
          <cell r="G281" t="str">
            <v/>
          </cell>
        </row>
        <row r="282">
          <cell r="B282" t="str">
            <v>ซุ่นหลีจักรยาน</v>
          </cell>
          <cell r="C282" t="str">
            <v>4 สี่แยกปรานบุรี ต.เขาน้อย</v>
          </cell>
          <cell r="D282" t="str">
            <v>ปรานบุรี</v>
          </cell>
          <cell r="E282" t="str">
            <v>ประจวบคีรีขัน</v>
          </cell>
          <cell r="F282" t="str">
            <v>032-621564</v>
          </cell>
          <cell r="G282" t="str">
            <v/>
          </cell>
        </row>
        <row r="283">
          <cell r="B283" t="str">
            <v>ดวงใจพ่ออะไหล่</v>
          </cell>
          <cell r="C283" t="str">
            <v>23/2 ม.5 ถ.แม่โจ้สายใหม่ ต.หนองหา</v>
          </cell>
          <cell r="D283" t="str">
            <v>สันทราย</v>
          </cell>
          <cell r="E283" t="str">
            <v>เชียงใหม่</v>
          </cell>
          <cell r="F283" t="str">
            <v>053-498591</v>
          </cell>
          <cell r="G283" t="str">
            <v/>
          </cell>
        </row>
        <row r="284">
          <cell r="B284" t="str">
            <v>ดวงดีจักรยาน</v>
          </cell>
          <cell r="C284" t="str">
            <v>196/1 ม.1 สามแยกท่าศาลา</v>
          </cell>
          <cell r="D284" t="str">
            <v>ท่าศาลา</v>
          </cell>
          <cell r="E284" t="str">
            <v>นครศรีธรรมราช</v>
          </cell>
          <cell r="F284" t="str">
            <v>075-522141</v>
          </cell>
          <cell r="G284" t="str">
            <v>07-8862538</v>
          </cell>
        </row>
        <row r="285">
          <cell r="B285" t="str">
            <v>ดำรงยนต์</v>
          </cell>
          <cell r="C285" t="str">
            <v>243/1</v>
          </cell>
          <cell r="D285" t="str">
            <v>ปากช่อง</v>
          </cell>
          <cell r="E285" t="str">
            <v>นครราชสีมา</v>
          </cell>
          <cell r="F285" t="str">
            <v>080-4841920</v>
          </cell>
          <cell r="G285" t="str">
            <v/>
          </cell>
        </row>
        <row r="286">
          <cell r="B286" t="str">
            <v>ดำรงอะไหล่</v>
          </cell>
          <cell r="C286" t="str">
            <v>123 หมู่ที่ 2 ต.เด่นชัย</v>
          </cell>
          <cell r="D286" t="str">
            <v>เด่นชัย</v>
          </cell>
          <cell r="E286" t="str">
            <v>แพร่</v>
          </cell>
          <cell r="F286" t="str">
            <v>054-613385</v>
          </cell>
          <cell r="G286" t="str">
            <v>054-613199</v>
          </cell>
        </row>
        <row r="287">
          <cell r="B287" t="str">
            <v>ดีไทย</v>
          </cell>
          <cell r="C287" t="str">
            <v>79 ตลาดบ้านส้อง</v>
          </cell>
          <cell r="D287" t="str">
            <v>เวียงสระ</v>
          </cell>
          <cell r="E287" t="str">
            <v>สุราษฎร์ธานี</v>
          </cell>
          <cell r="F287" t="str">
            <v>077-361311</v>
          </cell>
          <cell r="G287" t="str">
            <v/>
          </cell>
        </row>
        <row r="288">
          <cell r="B288" t="str">
            <v>ดึกการช่าง</v>
          </cell>
          <cell r="C288" t="str">
            <v>1308/6 ถ.สุขเกษม ต.ธาตุเชิงชุม</v>
          </cell>
          <cell r="D288" t="str">
            <v>เมือง</v>
          </cell>
          <cell r="E288" t="str">
            <v>สกลนคร</v>
          </cell>
          <cell r="F288" t="str">
            <v>042-712687</v>
          </cell>
          <cell r="G288" t="str">
            <v/>
          </cell>
        </row>
        <row r="289">
          <cell r="B289" t="str">
            <v>ต. รุ่งเรืองยนต์</v>
          </cell>
          <cell r="C289" t="str">
            <v>195/3-4 ซ.ตลาดเทศบาล 1</v>
          </cell>
          <cell r="D289" t="str">
            <v>ปัว</v>
          </cell>
          <cell r="E289" t="str">
            <v>น่าน</v>
          </cell>
          <cell r="F289" t="str">
            <v>054-756427</v>
          </cell>
          <cell r="G289" t="str">
            <v>01-8595967</v>
          </cell>
        </row>
        <row r="290">
          <cell r="B290" t="str">
            <v>ต.เจริญพาณิชย์</v>
          </cell>
          <cell r="C290" t="str">
            <v>272/2 ม. 10 ต. หนองสรวง</v>
          </cell>
          <cell r="D290" t="str">
            <v>วิหารแดง</v>
          </cell>
          <cell r="E290" t="str">
            <v>สระบุรี</v>
          </cell>
          <cell r="F290" t="str">
            <v>036-377834</v>
          </cell>
          <cell r="G290" t="str">
            <v>036-377941</v>
          </cell>
        </row>
        <row r="291">
          <cell r="B291" t="str">
            <v>ต.ศิลป์ 2</v>
          </cell>
          <cell r="C291" t="str">
            <v>62-64 ถนนศาลาแดง ต. ท่าตะเภา</v>
          </cell>
          <cell r="D291" t="str">
            <v>เมือง</v>
          </cell>
          <cell r="E291" t="str">
            <v>ชุมพร</v>
          </cell>
          <cell r="F291" t="str">
            <v>077-511083</v>
          </cell>
          <cell r="G291" t="str">
            <v>077-504440</v>
          </cell>
        </row>
        <row r="292">
          <cell r="B292" t="str">
            <v>ต้นบุญ</v>
          </cell>
          <cell r="C292" t="str">
            <v>258 หมู่ 3</v>
          </cell>
          <cell r="D292" t="str">
            <v>บ้านแท่น</v>
          </cell>
          <cell r="E292" t="str">
            <v>ชัยภูมิ</v>
          </cell>
          <cell r="F292" t="str">
            <v>044-886358</v>
          </cell>
          <cell r="G292" t="str">
            <v>089-3556358</v>
          </cell>
        </row>
        <row r="293">
          <cell r="B293" t="str">
            <v>ต้อยเฟอร์นิเจอร์</v>
          </cell>
          <cell r="C293" t="str">
            <v>252/1 ม.1 ต.กุดบาก</v>
          </cell>
          <cell r="D293" t="str">
            <v>กุดบาก</v>
          </cell>
          <cell r="E293" t="str">
            <v>สกลนคร</v>
          </cell>
          <cell r="F293" t="str">
            <v>042-784220</v>
          </cell>
          <cell r="G293" t="str">
            <v/>
          </cell>
        </row>
        <row r="294">
          <cell r="B294" t="str">
            <v>ต้อยอะไหล่ยนต์</v>
          </cell>
          <cell r="C294" t="str">
            <v/>
          </cell>
          <cell r="D294" t="str">
            <v>นิคมน้ำอูม</v>
          </cell>
          <cell r="E294" t="str">
            <v>สกลนคร</v>
          </cell>
          <cell r="F294" t="str">
            <v>089-4205176</v>
          </cell>
          <cell r="G294" t="str">
            <v/>
          </cell>
        </row>
        <row r="295">
          <cell r="B295" t="str">
            <v>ตั้งเชิ้งฮง 1999</v>
          </cell>
          <cell r="C295" t="str">
            <v>122 หมู่ 1 ต.เจริญธรรม</v>
          </cell>
          <cell r="D295" t="str">
            <v>วิหารแดง</v>
          </cell>
          <cell r="E295" t="str">
            <v>สระบุรี</v>
          </cell>
          <cell r="F295" t="str">
            <v/>
          </cell>
          <cell r="G295" t="str">
            <v/>
          </cell>
        </row>
        <row r="296">
          <cell r="B296" t="str">
            <v>ตั้งไทยสิน</v>
          </cell>
          <cell r="C296" t="str">
            <v>98 ม.11 ถนนสุขาภิบาล ต.ทับสะแก</v>
          </cell>
          <cell r="D296" t="str">
            <v>ทับสะแก</v>
          </cell>
          <cell r="E296" t="str">
            <v>ประจวบคีรีขัน</v>
          </cell>
          <cell r="F296" t="str">
            <v>032-671076</v>
          </cell>
          <cell r="G296" t="str">
            <v/>
          </cell>
        </row>
        <row r="297">
          <cell r="B297" t="str">
            <v>ตั้งบุญรักษ์</v>
          </cell>
          <cell r="C297" t="str">
            <v>17/1 ถ.คูหาสวรรค์</v>
          </cell>
          <cell r="D297" t="str">
            <v>เมือง</v>
          </cell>
          <cell r="E297" t="str">
            <v>พัทลุง</v>
          </cell>
          <cell r="F297" t="str">
            <v>074-613155</v>
          </cell>
          <cell r="G297" t="str">
            <v/>
          </cell>
        </row>
        <row r="298">
          <cell r="B298" t="str">
            <v>ถลางจักรยาน</v>
          </cell>
          <cell r="C298" t="str">
            <v>57/2 ถ.เทพกษัตริย์</v>
          </cell>
          <cell r="D298" t="str">
            <v>ถลาง</v>
          </cell>
          <cell r="E298" t="str">
            <v>ภูเก็ต</v>
          </cell>
          <cell r="F298" t="str">
            <v>01-8919795</v>
          </cell>
          <cell r="G298" t="str">
            <v/>
          </cell>
        </row>
        <row r="299">
          <cell r="B299" t="str">
            <v>ถาวรจักรยาน</v>
          </cell>
          <cell r="C299" t="str">
            <v>127 ถ.ถลาง ต.ตลาดใหญ่</v>
          </cell>
          <cell r="D299" t="str">
            <v>เมือง</v>
          </cell>
          <cell r="E299" t="str">
            <v>ภูเก็ต</v>
          </cell>
          <cell r="F299" t="str">
            <v>076-215774</v>
          </cell>
          <cell r="G299" t="str">
            <v>01-8032628</v>
          </cell>
        </row>
        <row r="300">
          <cell r="B300" t="str">
            <v>ถูกกว่าห้าง</v>
          </cell>
          <cell r="C300" t="str">
            <v>59/1 ม. 1 ต. คลองดิน</v>
          </cell>
          <cell r="D300" t="str">
            <v>แกลง</v>
          </cell>
          <cell r="E300" t="str">
            <v>ระยอง</v>
          </cell>
          <cell r="F300" t="str">
            <v>038-806198</v>
          </cell>
          <cell r="G300" t="str">
            <v/>
          </cell>
        </row>
        <row r="301">
          <cell r="B301" t="str">
            <v>ท. การช่าง</v>
          </cell>
          <cell r="C301" t="str">
            <v>139 ม.1 ถ.กีนานนท์ ต.โคกพระ</v>
          </cell>
          <cell r="D301" t="str">
            <v>กันทรวิชัย</v>
          </cell>
          <cell r="E301" t="str">
            <v>มหาสารคาม</v>
          </cell>
          <cell r="F301" t="str">
            <v>043-789031</v>
          </cell>
          <cell r="G301" t="str">
            <v/>
          </cell>
        </row>
        <row r="302">
          <cell r="B302" t="str">
            <v>ท.ทวีการช่าง</v>
          </cell>
          <cell r="C302" t="str">
            <v>188/7-9 ม.9 ต.ดอนโมง</v>
          </cell>
          <cell r="D302" t="str">
            <v>หนองเรือ</v>
          </cell>
          <cell r="E302" t="str">
            <v>ขอนแก่น</v>
          </cell>
          <cell r="F302" t="str">
            <v>043-299063</v>
          </cell>
          <cell r="G302" t="str">
            <v/>
          </cell>
        </row>
        <row r="303">
          <cell r="B303" t="str">
            <v>ทรงชัยวัสดุ 2</v>
          </cell>
          <cell r="C303" t="str">
            <v>347-350 ถ.อรุณประเสริฐ</v>
          </cell>
          <cell r="D303" t="str">
            <v>เมือง</v>
          </cell>
          <cell r="E303" t="str">
            <v>อำนาจเจริญ</v>
          </cell>
          <cell r="F303" t="str">
            <v>045-451454</v>
          </cell>
          <cell r="G303" t="str">
            <v>045- 511782</v>
          </cell>
        </row>
        <row r="304">
          <cell r="B304" t="str">
            <v>ทรงพานิช</v>
          </cell>
          <cell r="C304" t="str">
            <v>50 ม.1 ต.แวง</v>
          </cell>
          <cell r="D304" t="str">
            <v>โพนทอง</v>
          </cell>
          <cell r="E304" t="str">
            <v>ร้อยเอ็ด</v>
          </cell>
          <cell r="F304" t="str">
            <v>043-571475</v>
          </cell>
          <cell r="G304" t="str">
            <v/>
          </cell>
        </row>
        <row r="305">
          <cell r="B305" t="str">
            <v>ทรัพย์เจริญเฟอร์นิเจอร์</v>
          </cell>
          <cell r="C305" t="str">
            <v>109/2 ม.1 ต.ศรีวิไล</v>
          </cell>
          <cell r="D305" t="str">
            <v>อ.ศรีวิไล</v>
          </cell>
          <cell r="E305" t="str">
            <v>หนองคาย</v>
          </cell>
          <cell r="F305" t="str">
            <v>042-497024</v>
          </cell>
          <cell r="G305" t="str">
            <v/>
          </cell>
        </row>
        <row r="306">
          <cell r="B306" t="str">
            <v>ทรัพย์ไพศาลเฟอร์นิเจอร์</v>
          </cell>
          <cell r="C306" t="str">
            <v>127/14-15 ม.5 ต.บ้านสร้าง</v>
          </cell>
          <cell r="D306" t="str">
            <v>บ้านสร้าง</v>
          </cell>
          <cell r="E306" t="str">
            <v>ปราจีนบุรี</v>
          </cell>
          <cell r="F306" t="str">
            <v>037-271497</v>
          </cell>
          <cell r="G306" t="str">
            <v/>
          </cell>
        </row>
        <row r="307">
          <cell r="B307" t="str">
            <v>ทรัพย์ธนกิจ บางใหญ่</v>
          </cell>
          <cell r="C307" t="str">
            <v>61/263-4 ต. เสาธงหิน</v>
          </cell>
          <cell r="D307" t="str">
            <v>บางใหญ่</v>
          </cell>
          <cell r="E307" t="str">
            <v>นนทบุรี</v>
          </cell>
          <cell r="F307" t="str">
            <v>02-9031433</v>
          </cell>
          <cell r="G307" t="str">
            <v>09-8136516</v>
          </cell>
        </row>
        <row r="308">
          <cell r="B308" t="str">
            <v>ทรัพย์ธนาวุฒิ</v>
          </cell>
          <cell r="C308" t="str">
            <v>211/2 ม.11 ต.บ้านแดง</v>
          </cell>
          <cell r="D308" t="str">
            <v>พิบูลย์รักษ์</v>
          </cell>
          <cell r="E308" t="str">
            <v>อุดรธานี</v>
          </cell>
          <cell r="F308" t="str">
            <v>042-258072</v>
          </cell>
          <cell r="G308" t="str">
            <v>042-258272</v>
          </cell>
        </row>
        <row r="309">
          <cell r="B309" t="str">
            <v>ทวีกิจซุปเปอร์เซ็นเตอร์ จำกัด</v>
          </cell>
          <cell r="C309" t="str">
            <v>274 ม.8 ถ.บุรีรัมย์-นางรอง ต.อิสาน</v>
          </cell>
          <cell r="D309" t="str">
            <v>เมือง</v>
          </cell>
          <cell r="E309" t="str">
            <v>บุรีรัมย์</v>
          </cell>
          <cell r="F309" t="str">
            <v>044-612815</v>
          </cell>
          <cell r="G309" t="str">
            <v/>
          </cell>
        </row>
        <row r="310">
          <cell r="B310" t="str">
            <v>ทวีชัยเฟอร์นิเจอร์</v>
          </cell>
          <cell r="C310" t="str">
            <v>18/43-45 ม.11</v>
          </cell>
          <cell r="D310" t="str">
            <v>เสิงสาง</v>
          </cell>
          <cell r="E310" t="str">
            <v>นครราชสีมา</v>
          </cell>
          <cell r="F310" t="str">
            <v>044-447039</v>
          </cell>
          <cell r="G310" t="str">
            <v/>
          </cell>
        </row>
        <row r="311">
          <cell r="B311" t="str">
            <v>ทวีทรัพย์</v>
          </cell>
          <cell r="C311" t="str">
            <v>96 ม.2 ต.เฝ้าไร่</v>
          </cell>
          <cell r="D311" t="str">
            <v>เฝ้าไร่</v>
          </cell>
          <cell r="E311" t="str">
            <v>หนองคาย</v>
          </cell>
          <cell r="F311" t="str">
            <v>06-2242415</v>
          </cell>
          <cell r="G311" t="str">
            <v>042-417196</v>
          </cell>
        </row>
        <row r="312">
          <cell r="B312" t="str">
            <v>ทวีทรัพย์ชินผัน</v>
          </cell>
          <cell r="C312" t="str">
            <v>270 ม.11 ต.ทับกุง</v>
          </cell>
          <cell r="D312" t="str">
            <v>หนองแสง</v>
          </cell>
          <cell r="E312" t="str">
            <v>อุดรธานี</v>
          </cell>
          <cell r="F312" t="str">
            <v>042-397105</v>
          </cell>
          <cell r="G312" t="str">
            <v/>
          </cell>
        </row>
        <row r="313">
          <cell r="B313" t="str">
            <v>ทวีสมบัติ</v>
          </cell>
          <cell r="C313" t="str">
            <v>220/2 ม.2 ถ.อำมาตย์ ต.ในเมือง</v>
          </cell>
          <cell r="D313" t="str">
            <v>บ้านไผ่</v>
          </cell>
          <cell r="E313" t="str">
            <v>ขอนแก่น</v>
          </cell>
          <cell r="F313" t="str">
            <v>043-274665</v>
          </cell>
          <cell r="G313" t="str">
            <v/>
          </cell>
        </row>
        <row r="314">
          <cell r="B314" t="str">
            <v>ทวีสิน</v>
          </cell>
          <cell r="C314" t="str">
            <v>192 ม.1 ต.ศรีนคร</v>
          </cell>
          <cell r="D314" t="str">
            <v>อ.รัตนบุรี</v>
          </cell>
          <cell r="E314" t="str">
            <v>สุรินทร์</v>
          </cell>
          <cell r="F314" t="str">
            <v>044-599007</v>
          </cell>
          <cell r="G314" t="str">
            <v/>
          </cell>
        </row>
        <row r="315">
          <cell r="B315" t="str">
            <v>ทศพรการช่าง</v>
          </cell>
          <cell r="C315" t="str">
            <v>232-235 หมู่ 1</v>
          </cell>
          <cell r="D315" t="str">
            <v>บรบือ</v>
          </cell>
          <cell r="E315" t="str">
            <v>มหาสารคาม</v>
          </cell>
          <cell r="F315" t="str">
            <v/>
          </cell>
          <cell r="G315" t="str">
            <v/>
          </cell>
        </row>
        <row r="316">
          <cell r="B316" t="str">
            <v>ท่าหลวงเฟอร์นิเจอร์</v>
          </cell>
          <cell r="C316" t="str">
            <v>52/15 ม. 4 ต.ท่าหลวง</v>
          </cell>
          <cell r="D316" t="str">
            <v>ท่าหลวง</v>
          </cell>
          <cell r="E316" t="str">
            <v>ลพบุรี</v>
          </cell>
          <cell r="F316" t="str">
            <v>01-9470982</v>
          </cell>
          <cell r="G316" t="str">
            <v>01-9470982</v>
          </cell>
        </row>
        <row r="317">
          <cell r="B317" t="str">
            <v>ทิพย์อะไหล่</v>
          </cell>
          <cell r="C317" t="str">
            <v>151/1-3 ถ.รัตนเขต ในเมือง</v>
          </cell>
          <cell r="D317" t="str">
            <v>เมือง</v>
          </cell>
          <cell r="E317" t="str">
            <v>ยโสธร</v>
          </cell>
          <cell r="F317" t="str">
            <v>045-712438</v>
          </cell>
          <cell r="G317" t="str">
            <v/>
          </cell>
        </row>
        <row r="318">
          <cell r="B318" t="str">
            <v>ที.เค.มอเตอร์ออยส์</v>
          </cell>
          <cell r="C318" t="str">
            <v>177 ม.3 ต.หนองสองห้อง</v>
          </cell>
          <cell r="D318" t="str">
            <v>หนองสองห้อง</v>
          </cell>
          <cell r="E318" t="str">
            <v>ขอนแก่น</v>
          </cell>
          <cell r="F318" t="str">
            <v>043-491928</v>
          </cell>
          <cell r="G318" t="str">
            <v/>
          </cell>
        </row>
        <row r="319">
          <cell r="B319" t="str">
            <v>ทีไบด์</v>
          </cell>
          <cell r="C319" t="str">
            <v>4/17 ต.นิคมพัฒนา กิ่ง</v>
          </cell>
          <cell r="D319" t="str">
            <v>นิคมพัฒนา</v>
          </cell>
          <cell r="E319" t="str">
            <v>ระยอง</v>
          </cell>
          <cell r="F319" t="str">
            <v>06-6232987</v>
          </cell>
          <cell r="G319" t="str">
            <v/>
          </cell>
        </row>
        <row r="320">
          <cell r="B320" t="str">
            <v>ทุ่งยาวยานยนต์</v>
          </cell>
          <cell r="C320" t="str">
            <v>31/7 หมู่ 1 ต.ทุ่งยาว</v>
          </cell>
          <cell r="D320" t="str">
            <v>ปะเหลียน</v>
          </cell>
          <cell r="E320" t="str">
            <v>ตรัง</v>
          </cell>
          <cell r="F320" t="str">
            <v>075-289065</v>
          </cell>
          <cell r="G320" t="str">
            <v/>
          </cell>
        </row>
        <row r="321">
          <cell r="B321" t="str">
            <v>ธเนศจักรยาน</v>
          </cell>
          <cell r="C321" t="str">
            <v>127 หมู่ 1 ต.พระพุทธบาท</v>
          </cell>
          <cell r="D321" t="str">
            <v>พระพุทธบาท</v>
          </cell>
          <cell r="E321" t="str">
            <v>สระบุรี</v>
          </cell>
          <cell r="F321" t="str">
            <v>036-321306</v>
          </cell>
          <cell r="G321" t="str">
            <v/>
          </cell>
        </row>
        <row r="322">
          <cell r="B322" t="str">
            <v>ธนาชัย</v>
          </cell>
          <cell r="C322" t="str">
            <v>283/7-9 ถ.อุตรกิจ (ตลาดเทศบาล 1)</v>
          </cell>
          <cell r="D322" t="str">
            <v>อ.เมือง</v>
          </cell>
          <cell r="E322" t="str">
            <v>เชียงราย</v>
          </cell>
          <cell r="F322" t="str">
            <v>053-711857</v>
          </cell>
          <cell r="G322" t="str">
            <v>01-9615541</v>
          </cell>
        </row>
        <row r="323">
          <cell r="B323" t="str">
            <v>ธนาลัยเมืองแม่และเด็ก</v>
          </cell>
          <cell r="C323" t="str">
            <v>123-123/1 ถ.ธนาลัย</v>
          </cell>
          <cell r="D323" t="str">
            <v>เมือง</v>
          </cell>
          <cell r="E323" t="str">
            <v>เชียงราย</v>
          </cell>
          <cell r="F323" t="str">
            <v>053-711486</v>
          </cell>
          <cell r="G323" t="str">
            <v/>
          </cell>
        </row>
        <row r="324">
          <cell r="B324" t="str">
            <v>ธวัชยนต์</v>
          </cell>
          <cell r="C324" t="str">
            <v>1/4 ม.11 ถ.เถินบุรี ต.ล้อมแรด</v>
          </cell>
          <cell r="D324" t="str">
            <v>เถิน</v>
          </cell>
          <cell r="E324" t="str">
            <v>ลำปาง</v>
          </cell>
          <cell r="F324" t="str">
            <v>054-291057</v>
          </cell>
          <cell r="G324" t="str">
            <v/>
          </cell>
        </row>
        <row r="325">
          <cell r="B325" t="str">
            <v>ธานัทจักรยาน (ริมน้ำ)</v>
          </cell>
          <cell r="C325" t="str">
            <v>1/3 ถ.เจริญศรี</v>
          </cell>
          <cell r="D325" t="str">
            <v>อ.เมือง</v>
          </cell>
          <cell r="E325" t="str">
            <v>พิจิตร</v>
          </cell>
          <cell r="F325" t="str">
            <v>056-612118</v>
          </cell>
          <cell r="G325" t="str">
            <v/>
          </cell>
        </row>
        <row r="326">
          <cell r="B326" t="str">
            <v>ธีรพลจักรยาน</v>
          </cell>
          <cell r="C326" t="str">
            <v>29-31 ถ.สร้อยสุวรรณ</v>
          </cell>
          <cell r="D326" t="str">
            <v>เมือง</v>
          </cell>
          <cell r="E326" t="str">
            <v>จันทบุรี</v>
          </cell>
          <cell r="F326" t="str">
            <v>039-323826,</v>
          </cell>
          <cell r="G326" t="str">
            <v>01-8634898</v>
          </cell>
        </row>
        <row r="327">
          <cell r="B327" t="str">
            <v>นกน้อยการเกษตร</v>
          </cell>
          <cell r="C327" t="str">
            <v>115/9 หมู่ 1 กิ่งสากเหล็ก</v>
          </cell>
          <cell r="D327" t="str">
            <v>สากเหล็ก</v>
          </cell>
          <cell r="E327" t="str">
            <v>พิจิตร</v>
          </cell>
          <cell r="F327" t="str">
            <v>056-699299</v>
          </cell>
          <cell r="G327" t="str">
            <v>056-699179</v>
          </cell>
        </row>
        <row r="328">
          <cell r="B328" t="str">
            <v>น้องดิว</v>
          </cell>
          <cell r="C328" t="str">
            <v>132 ม.2 ต.ท่ายาง</v>
          </cell>
          <cell r="D328" t="str">
            <v>ทุ่งใหญ่</v>
          </cell>
          <cell r="E328" t="str">
            <v>นครศรีธรรมราช</v>
          </cell>
          <cell r="F328" t="str">
            <v>075-368055</v>
          </cell>
          <cell r="G328" t="str">
            <v>01-5363520</v>
          </cell>
        </row>
        <row r="329">
          <cell r="B329" t="str">
            <v>น้อยเจริญยนต์(ท่าลี่จักรยาน)</v>
          </cell>
          <cell r="C329" t="str">
            <v>145 ม.2 (ติดปั๊ม PTT)</v>
          </cell>
          <cell r="D329" t="str">
            <v>ท่าลี่</v>
          </cell>
          <cell r="E329" t="str">
            <v>เลย</v>
          </cell>
          <cell r="F329" t="str">
            <v>07-2135973</v>
          </cell>
          <cell r="G329" t="str">
            <v/>
          </cell>
        </row>
        <row r="330">
          <cell r="B330" t="str">
            <v>นันทิยา</v>
          </cell>
          <cell r="C330" t="str">
            <v>129 ถ.เรืองแสงกรรจ์ ต.ซ้ายหยด</v>
          </cell>
          <cell r="D330" t="str">
            <v>มหาชนะชัย</v>
          </cell>
          <cell r="E330" t="str">
            <v>ยโสธร</v>
          </cell>
          <cell r="F330" t="str">
            <v>045-799020</v>
          </cell>
          <cell r="G330" t="str">
            <v/>
          </cell>
        </row>
        <row r="331">
          <cell r="B331" t="str">
            <v>นัมเบอร์วัน</v>
          </cell>
          <cell r="C331" t="str">
            <v>1691/16 ถ.สุขเกษม ต.ธาตุเชิงชุม</v>
          </cell>
          <cell r="D331" t="str">
            <v>เมือง</v>
          </cell>
          <cell r="E331" t="str">
            <v>สกลนคร</v>
          </cell>
          <cell r="F331" t="str">
            <v>042-733507</v>
          </cell>
          <cell r="G331" t="str">
            <v/>
          </cell>
        </row>
        <row r="332">
          <cell r="B332" t="str">
            <v>นา นา ภัณฑ์</v>
          </cell>
          <cell r="C332" t="str">
            <v>196 หมู่ 5 ต.ลำทับ</v>
          </cell>
          <cell r="D332" t="str">
            <v>ลำทับ</v>
          </cell>
          <cell r="E332" t="str">
            <v>กระบี่</v>
          </cell>
          <cell r="F332" t="str">
            <v>075-643076</v>
          </cell>
          <cell r="G332" t="str">
            <v/>
          </cell>
        </row>
        <row r="333">
          <cell r="B333" t="str">
            <v>นายจันทร์ไบค์ช๊อป</v>
          </cell>
          <cell r="C333" t="str">
            <v>199/3 ถ.เหล่านาดี 043-224384</v>
          </cell>
          <cell r="D333" t="str">
            <v>เมือง</v>
          </cell>
          <cell r="E333" t="str">
            <v>ขอนแก่น</v>
          </cell>
          <cell r="F333" t="str">
            <v>01-5452181</v>
          </cell>
          <cell r="G333" t="str">
            <v>043-221355</v>
          </cell>
        </row>
        <row r="334">
          <cell r="B334" t="str">
            <v>นารี เพ็งพันธ์</v>
          </cell>
          <cell r="C334" t="str">
            <v>212/2 ม.10 ต.นาดู</v>
          </cell>
          <cell r="D334" t="str">
            <v>นาคู</v>
          </cell>
          <cell r="E334" t="str">
            <v>กาฬสินธุ์</v>
          </cell>
          <cell r="F334" t="str">
            <v>043-817401</v>
          </cell>
          <cell r="G334" t="str">
            <v/>
          </cell>
        </row>
        <row r="335">
          <cell r="B335" t="str">
            <v>น่าฮวดเฮงจักรยาน</v>
          </cell>
          <cell r="C335" t="str">
            <v>72-74 ถ.เทศบาล 1</v>
          </cell>
          <cell r="D335" t="str">
            <v>เมือง</v>
          </cell>
          <cell r="E335" t="str">
            <v>สุรินทร์</v>
          </cell>
          <cell r="F335" t="str">
            <v>044- 511032</v>
          </cell>
          <cell r="G335" t="str">
            <v>044-538729</v>
          </cell>
        </row>
        <row r="336">
          <cell r="B336" t="str">
            <v>นำเจริญ</v>
          </cell>
          <cell r="C336" t="str">
            <v>52-54 ถ.นิวาส</v>
          </cell>
          <cell r="D336" t="str">
            <v>เมือง</v>
          </cell>
          <cell r="E336" t="str">
            <v>บุรีรัมย์</v>
          </cell>
          <cell r="F336" t="str">
            <v>044-611115</v>
          </cell>
          <cell r="G336" t="str">
            <v/>
          </cell>
        </row>
        <row r="337">
          <cell r="B337" t="str">
            <v>นำเจริญ</v>
          </cell>
          <cell r="C337" t="str">
            <v>862-863 ม.9</v>
          </cell>
          <cell r="D337" t="str">
            <v>อ.ลำปลายมาศ</v>
          </cell>
          <cell r="E337" t="str">
            <v>บุรีรัมย์</v>
          </cell>
          <cell r="F337" t="str">
            <v>044-661296</v>
          </cell>
          <cell r="G337" t="str">
            <v/>
          </cell>
        </row>
        <row r="338">
          <cell r="B338" t="str">
            <v>นำแสงชัย</v>
          </cell>
          <cell r="C338" t="str">
            <v>153 ม.3 ต.โคกกรวย</v>
          </cell>
          <cell r="D338" t="str">
            <v>ป่านอัน</v>
          </cell>
          <cell r="E338" t="str">
            <v>พัทลุง</v>
          </cell>
          <cell r="F338" t="str">
            <v>06-9666570</v>
          </cell>
          <cell r="G338" t="str">
            <v/>
          </cell>
        </row>
        <row r="339">
          <cell r="B339" t="str">
            <v>นำโชค</v>
          </cell>
          <cell r="C339" t="str">
            <v>779/2 ถ.เจตจำนงค์</v>
          </cell>
          <cell r="D339" t="str">
            <v>เมือง</v>
          </cell>
          <cell r="E339" t="str">
            <v>ชลบุรี</v>
          </cell>
          <cell r="F339" t="str">
            <v>038-272016</v>
          </cell>
          <cell r="G339" t="str">
            <v>06-677-1016</v>
          </cell>
        </row>
        <row r="340">
          <cell r="B340" t="str">
            <v>นำชัย</v>
          </cell>
          <cell r="C340" t="str">
            <v>87 เชิงสะพานทอง</v>
          </cell>
          <cell r="D340" t="str">
            <v>เมือง</v>
          </cell>
          <cell r="E340" t="str">
            <v>อ่างทอง</v>
          </cell>
          <cell r="F340" t="str">
            <v>035-611013</v>
          </cell>
          <cell r="G340" t="str">
            <v/>
          </cell>
        </row>
        <row r="341">
          <cell r="B341" t="str">
            <v>นำดี</v>
          </cell>
          <cell r="C341" t="str">
            <v>163/1 ถนนรัถการ</v>
          </cell>
          <cell r="D341" t="str">
            <v>หาดใหญ่</v>
          </cell>
          <cell r="E341" t="str">
            <v>สงขลา</v>
          </cell>
          <cell r="F341" t="str">
            <v>074-245247</v>
          </cell>
          <cell r="G341" t="str">
            <v/>
          </cell>
        </row>
        <row r="342">
          <cell r="B342" t="str">
            <v>นำประเสริฐพานิช</v>
          </cell>
          <cell r="C342" t="str">
            <v>856/34 ถ.เจตน์จำนงค์ (หน้าวัดใหญ่)</v>
          </cell>
          <cell r="D342" t="str">
            <v>เมือง</v>
          </cell>
          <cell r="E342" t="str">
            <v>ชลบุรี</v>
          </cell>
          <cell r="F342" t="str">
            <v>038-275740</v>
          </cell>
          <cell r="G342" t="str">
            <v>01-9249054</v>
          </cell>
        </row>
        <row r="343">
          <cell r="B343" t="str">
            <v>นำสยาม</v>
          </cell>
          <cell r="C343" t="str">
            <v/>
          </cell>
          <cell r="D343" t="str">
            <v>จอมทอง</v>
          </cell>
          <cell r="E343" t="str">
            <v>กรุงเทพฯ</v>
          </cell>
          <cell r="F343" t="str">
            <v/>
          </cell>
          <cell r="G343" t="str">
            <v/>
          </cell>
        </row>
        <row r="344">
          <cell r="B344" t="str">
            <v>นิคมการช่าง</v>
          </cell>
          <cell r="C344" t="str">
            <v>205 ก/1 ถ.โนมม่วง</v>
          </cell>
          <cell r="D344" t="str">
            <v>อ.เมือง</v>
          </cell>
          <cell r="E344" t="str">
            <v>ชัยภูมิ</v>
          </cell>
          <cell r="F344" t="str">
            <v>044-830089</v>
          </cell>
          <cell r="G344" t="str">
            <v/>
          </cell>
        </row>
        <row r="345">
          <cell r="B345" t="str">
            <v>นิคมจักรยาน</v>
          </cell>
          <cell r="C345" t="str">
            <v>249 ถ.ปัทมนนท์</v>
          </cell>
          <cell r="D345" t="str">
            <v>อ.จอมพระ</v>
          </cell>
          <cell r="E345" t="str">
            <v>สุรินทร์</v>
          </cell>
          <cell r="F345" t="str">
            <v>044- 581067</v>
          </cell>
          <cell r="G345" t="str">
            <v>06-5826650</v>
          </cell>
        </row>
        <row r="346">
          <cell r="B346" t="str">
            <v>นิคมจักรยาน</v>
          </cell>
          <cell r="C346" t="str">
            <v>125-126 ต.หนองไผ่ล้อม</v>
          </cell>
          <cell r="D346" t="str">
            <v>สำโรงทาบ</v>
          </cell>
          <cell r="E346" t="str">
            <v>สุรินทร์</v>
          </cell>
          <cell r="F346" t="str">
            <v>09-2830352</v>
          </cell>
          <cell r="G346" t="str">
            <v/>
          </cell>
        </row>
        <row r="347">
          <cell r="B347" t="str">
            <v>นิดจักรยาน</v>
          </cell>
          <cell r="C347" t="str">
            <v>218/14 ต.จิระ</v>
          </cell>
          <cell r="D347" t="str">
            <v>เมือง</v>
          </cell>
          <cell r="E347" t="str">
            <v>บุรีรัมย์</v>
          </cell>
          <cell r="F347" t="str">
            <v>044-621730</v>
          </cell>
          <cell r="G347" t="str">
            <v/>
          </cell>
        </row>
        <row r="348">
          <cell r="B348" t="str">
            <v>นิทัศน์ทีวี</v>
          </cell>
          <cell r="C348" t="str">
            <v>175/6 ต.บุญเรือง</v>
          </cell>
          <cell r="D348" t="str">
            <v>เชียงของ</v>
          </cell>
          <cell r="E348" t="str">
            <v>เชียงราย</v>
          </cell>
          <cell r="F348" t="str">
            <v>053-783217</v>
          </cell>
          <cell r="G348" t="str">
            <v>053-783243</v>
          </cell>
        </row>
        <row r="349">
          <cell r="B349" t="str">
            <v>นิยมกิจ</v>
          </cell>
          <cell r="C349" t="str">
            <v>558 ถ.พหลโยธิน</v>
          </cell>
          <cell r="D349" t="str">
            <v>เมือง</v>
          </cell>
          <cell r="E349" t="str">
            <v>พะเยา</v>
          </cell>
          <cell r="F349" t="str">
            <v>054-431136</v>
          </cell>
          <cell r="G349" t="str">
            <v/>
          </cell>
        </row>
        <row r="350">
          <cell r="B350" t="str">
            <v>นิวเฟอร์นิเจอร์</v>
          </cell>
          <cell r="C350" t="str">
            <v>296 ม. 1 ซ. ยาวีเหนือ ต. วังชมภู</v>
          </cell>
          <cell r="D350" t="str">
            <v>เมือง</v>
          </cell>
          <cell r="E350" t="str">
            <v>เพชรบูรณ์</v>
          </cell>
          <cell r="F350" t="str">
            <v>081-8877816</v>
          </cell>
          <cell r="G350" t="str">
            <v>089-9271689</v>
          </cell>
        </row>
        <row r="351">
          <cell r="B351" t="str">
            <v>นิวไทยวัฒนา</v>
          </cell>
          <cell r="C351" t="str">
            <v>412-413 ถ.พหลโยธิน</v>
          </cell>
          <cell r="D351" t="str">
            <v>แม่สาย</v>
          </cell>
          <cell r="E351" t="str">
            <v>เชียงราย</v>
          </cell>
          <cell r="F351" t="str">
            <v>053-731042</v>
          </cell>
          <cell r="G351" t="str">
            <v/>
          </cell>
        </row>
        <row r="352">
          <cell r="B352" t="str">
            <v>นิวจักรยาน</v>
          </cell>
          <cell r="C352" t="str">
            <v>552/2 ม.2 ต.เวียง</v>
          </cell>
          <cell r="D352" t="str">
            <v>ฝาง</v>
          </cell>
          <cell r="E352" t="str">
            <v>เชียงใหม่</v>
          </cell>
          <cell r="F352" t="str">
            <v>053-452677</v>
          </cell>
          <cell r="G352" t="str">
            <v>053-453071</v>
          </cell>
        </row>
        <row r="353">
          <cell r="B353" t="str">
            <v>นุ่ยเจริญดี</v>
          </cell>
          <cell r="C353" t="str">
            <v>391 ม. 6 ต.ศาลเจ้า</v>
          </cell>
          <cell r="D353" t="str">
            <v>วิเศษชัยชาญ</v>
          </cell>
          <cell r="E353" t="str">
            <v>อ่างทอง</v>
          </cell>
          <cell r="F353" t="str">
            <v>035-631-349</v>
          </cell>
          <cell r="G353" t="str">
            <v/>
          </cell>
        </row>
        <row r="354">
          <cell r="B354" t="str">
            <v>บจก. หยูฮะเฮงอะไหล่</v>
          </cell>
          <cell r="C354" t="str">
            <v>74/23-24 ถ.สมุทรศักดิ์ดารักษ์</v>
          </cell>
          <cell r="D354" t="str">
            <v>เมือง</v>
          </cell>
          <cell r="E354" t="str">
            <v>มุกดาหาร</v>
          </cell>
          <cell r="F354" t="str">
            <v>042-632385</v>
          </cell>
          <cell r="G354" t="str">
            <v/>
          </cell>
        </row>
        <row r="355">
          <cell r="B355" t="str">
            <v>บรบือยานยนต์</v>
          </cell>
          <cell r="C355" t="str">
            <v>เลขที่ 12 หน้าที่ว่าการอำเภอบรบือ</v>
          </cell>
          <cell r="D355" t="str">
            <v>บรบือ</v>
          </cell>
          <cell r="E355" t="str">
            <v>มหาสารคาม</v>
          </cell>
          <cell r="F355" t="str">
            <v>043-770745</v>
          </cell>
          <cell r="G355" t="str">
            <v>089-2749669</v>
          </cell>
        </row>
        <row r="356">
          <cell r="B356" t="str">
            <v>บัวหลวงมินิมาร์ท</v>
          </cell>
          <cell r="C356" t="str">
            <v>359/66 ม.3 ถ.หนองกลับ</v>
          </cell>
          <cell r="D356" t="str">
            <v>หนองบัว</v>
          </cell>
          <cell r="E356" t="str">
            <v>นครสวรรค์</v>
          </cell>
          <cell r="F356" t="str">
            <v>056 -251334</v>
          </cell>
          <cell r="G356" t="str">
            <v/>
          </cell>
        </row>
        <row r="357">
          <cell r="B357" t="str">
            <v>บางกอกจักรยาน</v>
          </cell>
          <cell r="C357" t="str">
            <v>149/1 ม.1 ต.บึงกาฬ</v>
          </cell>
          <cell r="D357" t="str">
            <v>บึงกาฬ</v>
          </cell>
          <cell r="E357" t="str">
            <v>หนองคาย</v>
          </cell>
          <cell r="F357" t="str">
            <v>042-491038</v>
          </cell>
          <cell r="G357" t="str">
            <v/>
          </cell>
        </row>
        <row r="358">
          <cell r="B358" t="str">
            <v>บางพลีจักรยาน</v>
          </cell>
          <cell r="C358" t="str">
            <v>4/577 เมืองใหม่บางพลี</v>
          </cell>
          <cell r="D358" t="str">
            <v>บางพลี</v>
          </cell>
          <cell r="E358" t="str">
            <v>สมุทรปราการ</v>
          </cell>
          <cell r="F358" t="str">
            <v>02-3151787</v>
          </cell>
          <cell r="G358" t="str">
            <v/>
          </cell>
        </row>
        <row r="359">
          <cell r="B359" t="str">
            <v>บ้านจักรยาน</v>
          </cell>
          <cell r="C359" t="str">
            <v>61 ม.7 ต.พลิว</v>
          </cell>
          <cell r="D359" t="str">
            <v>อ.แหลมสิงห์</v>
          </cell>
          <cell r="E359" t="str">
            <v>จันทบุรี</v>
          </cell>
          <cell r="F359" t="str">
            <v>039-397044</v>
          </cell>
          <cell r="G359" t="str">
            <v/>
          </cell>
        </row>
        <row r="360">
          <cell r="B360" t="str">
            <v>บ้านนาแก๊ส</v>
          </cell>
          <cell r="C360" t="str">
            <v>81 ม.3 ถ.สุวรรณศร ต.บ้านนา</v>
          </cell>
          <cell r="D360" t="str">
            <v>บ้านนา</v>
          </cell>
          <cell r="E360" t="str">
            <v>นครนายก</v>
          </cell>
          <cell r="F360" t="str">
            <v>037-381218</v>
          </cell>
          <cell r="G360" t="str">
            <v/>
          </cell>
        </row>
        <row r="361">
          <cell r="B361" t="str">
            <v>บ้านม่วงจักรยาน</v>
          </cell>
          <cell r="C361" t="str">
            <v>104 ม.1 ตลาดอำเภอบ้านม่วง</v>
          </cell>
          <cell r="D361" t="str">
            <v>บ้านม่วง</v>
          </cell>
          <cell r="E361" t="str">
            <v>สกลนคร</v>
          </cell>
          <cell r="F361" t="str">
            <v>042-794096</v>
          </cell>
          <cell r="G361" t="str">
            <v/>
          </cell>
        </row>
        <row r="362">
          <cell r="B362" t="str">
            <v>บิ๊ก ที เฟอร์นิเจอร์</v>
          </cell>
          <cell r="C362" t="str">
            <v>41 ม.9 ถ.แก้วโกมล ต.เรณูนคร</v>
          </cell>
          <cell r="D362" t="str">
            <v>เรณูนคร</v>
          </cell>
          <cell r="E362" t="str">
            <v>นครพนม</v>
          </cell>
          <cell r="F362" t="str">
            <v>042-528375</v>
          </cell>
          <cell r="G362" t="str">
            <v>01-3202068</v>
          </cell>
        </row>
        <row r="363">
          <cell r="B363" t="str">
            <v>บิ๊กเจ</v>
          </cell>
          <cell r="C363" t="str">
            <v>92-93 ม.2 ต.ทุ่งกระเต็น</v>
          </cell>
          <cell r="D363" t="str">
            <v>หนองกี่</v>
          </cell>
          <cell r="E363" t="str">
            <v>บุรีรัมย์</v>
          </cell>
          <cell r="F363" t="str">
            <v>044-601301</v>
          </cell>
          <cell r="G363" t="str">
            <v/>
          </cell>
        </row>
        <row r="364">
          <cell r="B364" t="str">
            <v>บุญเจริญจักรยาน</v>
          </cell>
          <cell r="C364" t="str">
            <v>25/69 ม.1 ต.พลุตาหลวง</v>
          </cell>
          <cell r="D364" t="str">
            <v>สัตหีบ</v>
          </cell>
          <cell r="E364" t="str">
            <v>ชลบุรี</v>
          </cell>
          <cell r="F364" t="str">
            <v>038-245100</v>
          </cell>
          <cell r="G364" t="str">
            <v>06-3824184</v>
          </cell>
        </row>
        <row r="365">
          <cell r="B365" t="str">
            <v>บุญเลิศอะไหล่ยนต์</v>
          </cell>
          <cell r="C365" t="str">
            <v>844 ม.4 ต.แชะ</v>
          </cell>
          <cell r="D365" t="str">
            <v>ครบุรี</v>
          </cell>
          <cell r="E365" t="str">
            <v>นครราชสีมา</v>
          </cell>
          <cell r="F365" t="str">
            <v>044-448090</v>
          </cell>
          <cell r="G365" t="str">
            <v>086-6507723</v>
          </cell>
        </row>
        <row r="366">
          <cell r="B366" t="str">
            <v>บุญโรจน์การค้า</v>
          </cell>
          <cell r="C366" t="str">
            <v>7/2-3 ซ.ร่วมจิต ถ.ประสาทวิถี</v>
          </cell>
          <cell r="D366" t="str">
            <v>แม่สอด</v>
          </cell>
          <cell r="E366" t="str">
            <v>ตาก</v>
          </cell>
          <cell r="F366" t="str">
            <v>055-532112</v>
          </cell>
          <cell r="G366" t="str">
            <v>055-533422</v>
          </cell>
        </row>
        <row r="367">
          <cell r="B367" t="str">
            <v>บุญครอง</v>
          </cell>
          <cell r="C367" t="str">
            <v>395 ถ.เพชรเกษม</v>
          </cell>
          <cell r="D367" t="str">
            <v>คุระบุรี</v>
          </cell>
          <cell r="E367" t="str">
            <v>พังงา</v>
          </cell>
          <cell r="F367" t="str">
            <v>076-491699</v>
          </cell>
          <cell r="G367" t="str">
            <v/>
          </cell>
        </row>
        <row r="368">
          <cell r="B368" t="str">
            <v>บุญชูการไฟฟ้า</v>
          </cell>
          <cell r="C368" t="str">
            <v>77 ม.2 ต.ม่วงค่อม</v>
          </cell>
          <cell r="D368" t="str">
            <v>ชัยบาดาล</v>
          </cell>
          <cell r="E368" t="str">
            <v>ลพบุรี</v>
          </cell>
          <cell r="F368" t="str">
            <v>01-2797417</v>
          </cell>
          <cell r="G368" t="str">
            <v/>
          </cell>
        </row>
        <row r="369">
          <cell r="B369" t="str">
            <v>บุญทวีจักรยาน</v>
          </cell>
          <cell r="C369" t="str">
            <v>85 ม.10 สี่แยกบ้านพลับ ถ.พลับผือ</v>
          </cell>
          <cell r="D369" t="str">
            <v>บ้านผือ</v>
          </cell>
          <cell r="E369" t="str">
            <v>อุดรธานี</v>
          </cell>
          <cell r="F369" t="str">
            <v>042-281419</v>
          </cell>
          <cell r="G369" t="str">
            <v>01-7688367</v>
          </cell>
        </row>
        <row r="370">
          <cell r="B370" t="str">
            <v>บุญทวีจักรยาน</v>
          </cell>
          <cell r="C370" t="str">
            <v>68/44 ถ.ดอนตูม ต.บ่อพลับ</v>
          </cell>
          <cell r="D370" t="str">
            <v>อ.เมือง</v>
          </cell>
          <cell r="E370" t="str">
            <v>นครปฐม</v>
          </cell>
          <cell r="F370" t="str">
            <v>089-9183223</v>
          </cell>
          <cell r="G370" t="str">
            <v/>
          </cell>
        </row>
        <row r="371">
          <cell r="B371" t="str">
            <v>บุญยง</v>
          </cell>
          <cell r="C371" t="str">
            <v>77 ถ.จันทรทาราม</v>
          </cell>
          <cell r="D371" t="str">
            <v>วัดสิงห์</v>
          </cell>
          <cell r="E371" t="str">
            <v>ชัยนาท</v>
          </cell>
          <cell r="F371" t="str">
            <v>056-461328</v>
          </cell>
          <cell r="G371" t="str">
            <v/>
          </cell>
        </row>
        <row r="372">
          <cell r="B372" t="str">
            <v>บุญยงค์</v>
          </cell>
          <cell r="C372" t="str">
            <v>ต.ศรีมาลา</v>
          </cell>
          <cell r="D372" t="str">
            <v>เมือง</v>
          </cell>
          <cell r="E372" t="str">
            <v>พิจิตร</v>
          </cell>
          <cell r="F372" t="str">
            <v>056-650566</v>
          </cell>
          <cell r="G372" t="str">
            <v/>
          </cell>
        </row>
        <row r="373">
          <cell r="B373" t="str">
            <v>บุญรัตน์จักรยาน</v>
          </cell>
          <cell r="C373" t="str">
            <v>691 ม.1 (ข้าง รร.ภัทรวิทยา)</v>
          </cell>
          <cell r="D373" t="str">
            <v>แม่สอด</v>
          </cell>
          <cell r="E373" t="str">
            <v>ตาก</v>
          </cell>
          <cell r="F373" t="str">
            <v>055-563399</v>
          </cell>
          <cell r="G373" t="str">
            <v/>
          </cell>
        </row>
        <row r="374">
          <cell r="B374" t="str">
            <v>บุญลือจักรยาน</v>
          </cell>
          <cell r="C374" t="str">
            <v>443/18 ถ.เพชรเกษม</v>
          </cell>
          <cell r="D374" t="str">
            <v>หาดใหญ่</v>
          </cell>
          <cell r="E374" t="str">
            <v>สงขลา</v>
          </cell>
          <cell r="F374" t="str">
            <v>074-238412</v>
          </cell>
          <cell r="G374" t="str">
            <v>01-8988205</v>
          </cell>
        </row>
        <row r="375">
          <cell r="B375" t="str">
            <v>บุญส่งการช่าง</v>
          </cell>
          <cell r="C375" t="str">
            <v>34-35 ม.6 ต.เชียงดาว</v>
          </cell>
          <cell r="D375" t="str">
            <v>เชียงดาว</v>
          </cell>
          <cell r="E375" t="str">
            <v>เชียงใหม่</v>
          </cell>
          <cell r="F375" t="str">
            <v>053-455009</v>
          </cell>
          <cell r="G375" t="str">
            <v/>
          </cell>
        </row>
        <row r="376">
          <cell r="B376" t="str">
            <v>บูรพากลการ</v>
          </cell>
          <cell r="C376" t="str">
            <v>64 ถ.กุดั่น ต.ในเมือง</v>
          </cell>
          <cell r="D376" t="str">
            <v>เมือง</v>
          </cell>
          <cell r="E376" t="str">
            <v>นครราชสีมา</v>
          </cell>
          <cell r="F376" t="str">
            <v>044-256697</v>
          </cell>
          <cell r="G376" t="str">
            <v/>
          </cell>
        </row>
        <row r="377">
          <cell r="B377" t="str">
            <v>บูรพาอะไหล่</v>
          </cell>
          <cell r="C377" t="str">
            <v>2-4 ถ.สิงห์วัฒน์ สีแยกไฟแดง ต. ธานี</v>
          </cell>
          <cell r="D377" t="str">
            <v>เมือง</v>
          </cell>
          <cell r="E377" t="str">
            <v>สุโขทัย</v>
          </cell>
          <cell r="F377" t="str">
            <v>055-612445</v>
          </cell>
          <cell r="G377" t="str">
            <v/>
          </cell>
        </row>
        <row r="378">
          <cell r="B378" t="str">
            <v>ป. ไซเคิล</v>
          </cell>
          <cell r="C378" t="str">
            <v>38/1 ม.8 ต.อ้อมใหญ่</v>
          </cell>
          <cell r="D378" t="str">
            <v>สามพราน</v>
          </cell>
          <cell r="E378" t="str">
            <v>นครปฐม</v>
          </cell>
          <cell r="F378" t="str">
            <v>02-4205318</v>
          </cell>
          <cell r="G378" t="str">
            <v/>
          </cell>
        </row>
        <row r="379">
          <cell r="B379" t="str">
            <v>ป. ไบค์</v>
          </cell>
          <cell r="C379" t="str">
            <v>331-333 ถ.สมุทรเทวราช</v>
          </cell>
          <cell r="D379" t="str">
            <v>เมือง</v>
          </cell>
          <cell r="E379" t="str">
            <v>น่าน</v>
          </cell>
          <cell r="F379" t="str">
            <v>054-772680</v>
          </cell>
          <cell r="G379" t="str">
            <v>054-710008</v>
          </cell>
        </row>
        <row r="380">
          <cell r="B380" t="str">
            <v>ป. กิมฮ้อ</v>
          </cell>
          <cell r="C380" t="str">
            <v>390 ม.4 ต.ท่าบุญมี</v>
          </cell>
          <cell r="D380" t="str">
            <v>เกาะจันทร์</v>
          </cell>
          <cell r="E380" t="str">
            <v>ชลบุรี</v>
          </cell>
          <cell r="F380" t="str">
            <v>038-209133</v>
          </cell>
          <cell r="G380" t="str">
            <v/>
          </cell>
        </row>
        <row r="381">
          <cell r="B381" t="str">
            <v>ป. จักรยาน</v>
          </cell>
          <cell r="C381" t="str">
            <v>714/22 ถ.ชมจิรเวส ต. ชนแดน</v>
          </cell>
          <cell r="D381" t="str">
            <v>ชนแดน</v>
          </cell>
          <cell r="E381" t="str">
            <v>เพชรบูรณ์</v>
          </cell>
          <cell r="F381" t="str">
            <v>056-761036</v>
          </cell>
          <cell r="G381" t="str">
            <v/>
          </cell>
        </row>
        <row r="382">
          <cell r="B382" t="str">
            <v>ป.รุ่งเรือง</v>
          </cell>
          <cell r="C382" t="str">
            <v>396/4 ต.ศรีมหาโพธิ์</v>
          </cell>
          <cell r="D382" t="str">
            <v>ศรีมหาโพธิ</v>
          </cell>
          <cell r="E382" t="str">
            <v>ปราจีนบุรี</v>
          </cell>
          <cell r="F382" t="str">
            <v>037-208331</v>
          </cell>
          <cell r="G382" t="str">
            <v/>
          </cell>
        </row>
        <row r="383">
          <cell r="B383" t="str">
            <v>ประเสริฐพานิชย์</v>
          </cell>
          <cell r="C383" t="str">
            <v>213 ม.1 ต.ขุนยวม</v>
          </cell>
          <cell r="D383" t="str">
            <v>ขุนยวม</v>
          </cell>
          <cell r="E383" t="str">
            <v>แม่ฮ่องสอน</v>
          </cell>
          <cell r="F383" t="str">
            <v>053-622042</v>
          </cell>
          <cell r="G383" t="str">
            <v/>
          </cell>
        </row>
        <row r="384">
          <cell r="B384" t="str">
            <v>ประชาร่วมยนต์</v>
          </cell>
          <cell r="C384" t="str">
            <v>156/7 หมู่ 4 สี่แยกเกาะโพธิ์ ต.</v>
          </cell>
          <cell r="D384" t="str">
            <v>เกาะจันทร์</v>
          </cell>
          <cell r="E384" t="str">
            <v>ชลบุรี</v>
          </cell>
          <cell r="F384" t="str">
            <v>038-779209</v>
          </cell>
          <cell r="G384" t="str">
            <v>038-462223</v>
          </cell>
        </row>
        <row r="385">
          <cell r="B385" t="str">
            <v>ประทานพรจักรยาน</v>
          </cell>
          <cell r="C385" t="str">
            <v>33/1 ม.1 ต.ลำหนองแสน</v>
          </cell>
          <cell r="D385" t="str">
            <v>หนองกรุงศรี</v>
          </cell>
          <cell r="E385" t="str">
            <v>กาฬสินธุ์</v>
          </cell>
          <cell r="F385" t="str">
            <v>043-881439</v>
          </cell>
          <cell r="G385" t="str">
            <v/>
          </cell>
        </row>
        <row r="386">
          <cell r="B386" t="str">
            <v>ประมวลอิเลคทรอนิคส์</v>
          </cell>
          <cell r="C386" t="str">
            <v>141 ม.4 ต.ดงหลวง</v>
          </cell>
          <cell r="D386" t="str">
            <v>ดงหลวง</v>
          </cell>
          <cell r="E386" t="str">
            <v>มุกดาหาร</v>
          </cell>
          <cell r="F386" t="str">
            <v>042-697108</v>
          </cell>
          <cell r="G386" t="str">
            <v/>
          </cell>
        </row>
        <row r="387">
          <cell r="B387" t="str">
            <v>ประสิทธิ์ผล</v>
          </cell>
          <cell r="C387" t="str">
            <v>341 ถ.ปะจันตเขต</v>
          </cell>
          <cell r="D387" t="str">
            <v>นางรอง</v>
          </cell>
          <cell r="E387" t="str">
            <v>บุรีรัมย์</v>
          </cell>
          <cell r="F387" t="str">
            <v>044-631607</v>
          </cell>
          <cell r="G387" t="str">
            <v/>
          </cell>
        </row>
        <row r="388">
          <cell r="B388" t="str">
            <v>ปราเมศ</v>
          </cell>
          <cell r="C388" t="str">
            <v>63/61 ม.2 ต.ทุ่งควายกิน</v>
          </cell>
          <cell r="D388" t="str">
            <v>แกลง</v>
          </cell>
          <cell r="E388" t="str">
            <v>ระยอง</v>
          </cell>
          <cell r="F388" t="str">
            <v>038-889077</v>
          </cell>
          <cell r="G388" t="str">
            <v/>
          </cell>
        </row>
        <row r="389">
          <cell r="B389" t="str">
            <v>ปราณีจักรยาน</v>
          </cell>
          <cell r="C389" t="str">
            <v>53/1 ม.1 ต.คำพาน</v>
          </cell>
          <cell r="D389" t="str">
            <v>วังม่วง</v>
          </cell>
          <cell r="E389" t="str">
            <v>สระบุรี</v>
          </cell>
          <cell r="F389" t="str">
            <v>09-5238108</v>
          </cell>
          <cell r="G389" t="str">
            <v/>
          </cell>
        </row>
        <row r="390">
          <cell r="B390" t="str">
            <v>ปริ้น&amp;โปร</v>
          </cell>
          <cell r="C390" t="str">
            <v>163/15 ม.8 ศูนย์การค้าบางเขน บางเลน</v>
          </cell>
          <cell r="D390" t="str">
            <v>บางเลน</v>
          </cell>
          <cell r="E390" t="str">
            <v>นครปฐม</v>
          </cell>
          <cell r="F390" t="str">
            <v>034-391969</v>
          </cell>
          <cell r="G390" t="str">
            <v/>
          </cell>
        </row>
        <row r="391">
          <cell r="B391" t="str">
            <v>ปรีชาการช่าง</v>
          </cell>
          <cell r="C391" t="str">
            <v>28-30 ม. 3 ตลาดท่าประชม</v>
          </cell>
          <cell r="D391" t="str">
            <v>ศรีมหาโพธิ</v>
          </cell>
          <cell r="E391" t="str">
            <v>ปราจีนบุรี</v>
          </cell>
          <cell r="F391" t="str">
            <v>037-279001</v>
          </cell>
          <cell r="G391" t="str">
            <v/>
          </cell>
        </row>
        <row r="392">
          <cell r="B392" t="str">
            <v>ป๊อกเฟอร์นิเจอร์</v>
          </cell>
          <cell r="C392" t="str">
            <v>192/2 ม.3 ต.บ่อพลอย</v>
          </cell>
          <cell r="D392" t="str">
            <v>บ่อไร่</v>
          </cell>
          <cell r="E392" t="str">
            <v>ตราด</v>
          </cell>
          <cell r="F392" t="str">
            <v>039-591322</v>
          </cell>
          <cell r="G392" t="str">
            <v/>
          </cell>
        </row>
        <row r="393">
          <cell r="B393" t="str">
            <v>ป้อมจักรยาน</v>
          </cell>
          <cell r="C393" t="str">
            <v>867 ม.1 ต.พนม</v>
          </cell>
          <cell r="D393" t="str">
            <v>พนมสารคาม</v>
          </cell>
          <cell r="E393" t="str">
            <v>ฉะเชิงเทรา</v>
          </cell>
          <cell r="F393" t="str">
            <v>038-551400</v>
          </cell>
          <cell r="G393" t="str">
            <v/>
          </cell>
        </row>
        <row r="394">
          <cell r="B394" t="str">
            <v>ปัญญาอะไหล่</v>
          </cell>
          <cell r="C394" t="str">
            <v>140/2 ม.5 ต.สระกรวด</v>
          </cell>
          <cell r="D394" t="str">
            <v>ศรีเทพ</v>
          </cell>
          <cell r="E394" t="str">
            <v>เพชรบูรณ์</v>
          </cell>
          <cell r="F394" t="str">
            <v>056-799024</v>
          </cell>
          <cell r="G394" t="str">
            <v/>
          </cell>
        </row>
        <row r="395">
          <cell r="B395" t="str">
            <v>ปาราเมศร์</v>
          </cell>
          <cell r="C395" t="str">
            <v>63/61 ม.2 ต.ทุ่งควายกิน</v>
          </cell>
          <cell r="D395" t="str">
            <v>แกลง</v>
          </cell>
          <cell r="E395" t="str">
            <v>ระยอง</v>
          </cell>
          <cell r="F395" t="str">
            <v>038-889077</v>
          </cell>
          <cell r="G395" t="str">
            <v/>
          </cell>
        </row>
        <row r="396">
          <cell r="B396" t="str">
            <v>ปิยะจักรยาน</v>
          </cell>
          <cell r="C396" t="str">
            <v>11/7-8 ถ.สฤดิเดช ต.วัดใหม่</v>
          </cell>
          <cell r="D396" t="str">
            <v>เมือง</v>
          </cell>
          <cell r="E396" t="str">
            <v>จันทบุรี</v>
          </cell>
          <cell r="F396" t="str">
            <v>039-312449</v>
          </cell>
          <cell r="G396" t="str">
            <v>039-313464</v>
          </cell>
        </row>
        <row r="397">
          <cell r="B397" t="str">
            <v>ปิยะศักดิ์พาณิชย์</v>
          </cell>
          <cell r="C397" t="str">
            <v>41 ม.9 ถ.แก้วโกมล ต.เรณูนคร</v>
          </cell>
          <cell r="D397" t="str">
            <v>เรณูนคร</v>
          </cell>
          <cell r="E397" t="str">
            <v>นครพนม</v>
          </cell>
          <cell r="F397" t="str">
            <v>042-528375</v>
          </cell>
          <cell r="G397" t="str">
            <v>01-3202068</v>
          </cell>
        </row>
        <row r="398">
          <cell r="B398" t="str">
            <v>ปึงซงหลี</v>
          </cell>
          <cell r="C398" t="str">
            <v>19-21 ถ.สุชาภิบาล</v>
          </cell>
          <cell r="D398" t="str">
            <v>กระสัง</v>
          </cell>
          <cell r="E398" t="str">
            <v>บุรีรัมย์</v>
          </cell>
          <cell r="F398" t="str">
            <v/>
          </cell>
          <cell r="G398" t="str">
            <v/>
          </cell>
        </row>
        <row r="399">
          <cell r="B399" t="str">
            <v>ผ่องศรี</v>
          </cell>
          <cell r="C399" t="str">
            <v>141 ม.7 ต.ประทาย</v>
          </cell>
          <cell r="D399" t="str">
            <v>ประทาย</v>
          </cell>
          <cell r="E399" t="str">
            <v>นครราชสีมา</v>
          </cell>
          <cell r="F399" t="str">
            <v>044-479274</v>
          </cell>
          <cell r="G399" t="str">
            <v>01-9675871</v>
          </cell>
        </row>
        <row r="400">
          <cell r="B400" t="str">
            <v>ผินสินเถิน</v>
          </cell>
          <cell r="C400" t="str">
            <v>251 ถ.เกินบุรี ต.ล้อมแรด</v>
          </cell>
          <cell r="D400" t="str">
            <v>เถิน</v>
          </cell>
          <cell r="E400" t="str">
            <v>ลำปาง</v>
          </cell>
          <cell r="F400" t="str">
            <v>054-291419</v>
          </cell>
          <cell r="G400" t="str">
            <v/>
          </cell>
        </row>
        <row r="401">
          <cell r="B401" t="str">
            <v>ผินฮับ</v>
          </cell>
          <cell r="C401" t="str">
            <v>120 ข้างธนาคารออมสิน ต.ห้างฉัตร</v>
          </cell>
          <cell r="D401" t="str">
            <v>ห้างฉัตร</v>
          </cell>
          <cell r="E401" t="str">
            <v>ลำปาง</v>
          </cell>
          <cell r="F401" t="str">
            <v>054-269330</v>
          </cell>
          <cell r="G401" t="str">
            <v/>
          </cell>
        </row>
        <row r="402">
          <cell r="B402" t="str">
            <v>ผินฮับหลี</v>
          </cell>
          <cell r="C402" t="str">
            <v>46 ถ.ท่าแพ ต.เวียง</v>
          </cell>
          <cell r="D402" t="str">
            <v>ฝาง</v>
          </cell>
          <cell r="E402" t="str">
            <v>เชียงใหม่</v>
          </cell>
          <cell r="F402" t="str">
            <v>053-451173</v>
          </cell>
          <cell r="G402" t="str">
            <v/>
          </cell>
        </row>
        <row r="403">
          <cell r="B403" t="str">
            <v>พ.เจริญยนต์</v>
          </cell>
          <cell r="C403" t="str">
            <v>468-469 หมู่ 1 ต.ปะหลาน</v>
          </cell>
          <cell r="D403" t="str">
            <v>พยัคฆภูมิพิสั</v>
          </cell>
          <cell r="E403" t="str">
            <v>มหาสารคาม</v>
          </cell>
          <cell r="F403" t="str">
            <v>043-791219</v>
          </cell>
          <cell r="G403" t="str">
            <v>043-790455</v>
          </cell>
        </row>
        <row r="404">
          <cell r="B404" t="str">
            <v>พ.อารียนต์</v>
          </cell>
          <cell r="C404" t="str">
            <v>134 ม.1 ต.วังโป่ง</v>
          </cell>
          <cell r="D404" t="str">
            <v>วังโป่ง</v>
          </cell>
          <cell r="E404" t="str">
            <v>เพชรบูรณ์</v>
          </cell>
          <cell r="F404" t="str">
            <v>056-758084</v>
          </cell>
          <cell r="G404" t="str">
            <v/>
          </cell>
        </row>
        <row r="405">
          <cell r="B405" t="str">
            <v>พงษ์เพชรจักรยาน</v>
          </cell>
          <cell r="C405" t="str">
            <v>211 ม.11 ต.กุดดินจี่</v>
          </cell>
          <cell r="D405" t="str">
            <v>นากลาง</v>
          </cell>
          <cell r="E405" t="str">
            <v>หนองบัวลำภู</v>
          </cell>
          <cell r="F405" t="str">
            <v>042-357186</v>
          </cell>
          <cell r="G405" t="str">
            <v/>
          </cell>
        </row>
        <row r="406">
          <cell r="B406" t="str">
            <v>พงษ์ศักดิ์สากลการช่าง</v>
          </cell>
          <cell r="C406" t="str">
            <v>353 ถ.สานาน้อย</v>
          </cell>
          <cell r="D406" t="str">
            <v>เวียงสา</v>
          </cell>
          <cell r="E406" t="str">
            <v>น่าน</v>
          </cell>
          <cell r="F406" t="str">
            <v>054-781334</v>
          </cell>
          <cell r="G406" t="str">
            <v/>
          </cell>
        </row>
        <row r="407">
          <cell r="B407" t="str">
            <v>พนมจักรยาน</v>
          </cell>
          <cell r="C407" t="str">
            <v>44 ม.1 ถ.นิตโย ต.สว่างแดนดิน</v>
          </cell>
          <cell r="D407" t="str">
            <v>สว่างแดนดิน</v>
          </cell>
          <cell r="E407" t="str">
            <v>สกลนคร</v>
          </cell>
          <cell r="F407" t="str">
            <v>042-721720</v>
          </cell>
          <cell r="G407" t="str">
            <v/>
          </cell>
        </row>
        <row r="408">
          <cell r="B408" t="str">
            <v>พรเจริญ</v>
          </cell>
          <cell r="C408" t="str">
            <v>9/1-2 ถ.ชิดลม</v>
          </cell>
          <cell r="D408" t="str">
            <v>แม่สอด</v>
          </cell>
          <cell r="E408" t="str">
            <v>ตาก</v>
          </cell>
          <cell r="F408" t="str">
            <v>055-533108</v>
          </cell>
          <cell r="G408" t="str">
            <v>01-886731</v>
          </cell>
        </row>
        <row r="409">
          <cell r="B409" t="str">
            <v>พรเจริญจักรยาน</v>
          </cell>
          <cell r="C409" t="str">
            <v>132 ม.3 ต.อากาศอำนวย</v>
          </cell>
          <cell r="D409" t="str">
            <v>อากาศอำนวย</v>
          </cell>
          <cell r="E409" t="str">
            <v>สกลนคร</v>
          </cell>
          <cell r="F409" t="str">
            <v>042-798301</v>
          </cell>
          <cell r="G409" t="str">
            <v>06-2320135</v>
          </cell>
        </row>
        <row r="410">
          <cell r="B410" t="str">
            <v>พรจักรยาน</v>
          </cell>
          <cell r="C410" t="str">
            <v>17 ถ.รามวิถี</v>
          </cell>
          <cell r="D410" t="str">
            <v>เมือง</v>
          </cell>
          <cell r="E410" t="str">
            <v>สงขลา</v>
          </cell>
          <cell r="F410" t="str">
            <v>074-441380</v>
          </cell>
          <cell r="G410" t="str">
            <v/>
          </cell>
        </row>
        <row r="411">
          <cell r="B411" t="str">
            <v>พรชัย</v>
          </cell>
          <cell r="C411" t="str">
            <v>49/3 ต.ท่าข้าม</v>
          </cell>
          <cell r="D411" t="str">
            <v>ชนแดน</v>
          </cell>
          <cell r="E411" t="str">
            <v>เพชรบูรณ์</v>
          </cell>
          <cell r="F411" t="str">
            <v>056-767043</v>
          </cell>
          <cell r="G411" t="str">
            <v/>
          </cell>
        </row>
        <row r="412">
          <cell r="B412" t="str">
            <v>พรชัยการเกษตร</v>
          </cell>
          <cell r="C412" t="str">
            <v>267 ม.3 ต.โซ่พิสัย</v>
          </cell>
          <cell r="D412" t="str">
            <v>อ.โซ่พิสัย</v>
          </cell>
          <cell r="E412" t="str">
            <v>หนองคาย</v>
          </cell>
          <cell r="F412" t="str">
            <v>042-485269</v>
          </cell>
          <cell r="G412" t="str">
            <v>09-8620616</v>
          </cell>
        </row>
        <row r="413">
          <cell r="B413" t="str">
            <v>พรชัยการไฟฟ้า</v>
          </cell>
          <cell r="C413" t="str">
            <v>54/1 ถ.จามเทวี ต.เมืองใน</v>
          </cell>
          <cell r="D413" t="str">
            <v>เมือง</v>
          </cell>
          <cell r="E413" t="str">
            <v>ลำพูน</v>
          </cell>
          <cell r="F413" t="str">
            <v>053-560186</v>
          </cell>
          <cell r="G413" t="str">
            <v>053-534783</v>
          </cell>
        </row>
        <row r="414">
          <cell r="B414" t="str">
            <v>พรชัยจักรยาน</v>
          </cell>
          <cell r="C414" t="str">
            <v>35 ม.6 (หน้าตลาดสด)</v>
          </cell>
          <cell r="D414" t="str">
            <v>สุวรรณคูหา</v>
          </cell>
          <cell r="E414" t="str">
            <v>หนองบัวลำภู</v>
          </cell>
          <cell r="F414" t="str">
            <v>042-372281</v>
          </cell>
          <cell r="G414" t="str">
            <v>01-7296728</v>
          </cell>
        </row>
        <row r="415">
          <cell r="B415" t="str">
            <v>พรทรัพย์</v>
          </cell>
          <cell r="C415" t="str">
            <v>188 ม.5 ต.วังสามหมอ</v>
          </cell>
          <cell r="D415" t="str">
            <v>วังสามหมอ</v>
          </cell>
          <cell r="E415" t="str">
            <v>อุดรธานี</v>
          </cell>
          <cell r="F415" t="str">
            <v>042-387561</v>
          </cell>
          <cell r="G415" t="str">
            <v>01-2636888</v>
          </cell>
        </row>
        <row r="416">
          <cell r="B416" t="str">
            <v>พรทิพย์อะไหล่</v>
          </cell>
          <cell r="C416" t="str">
            <v>204/1 ม.14 ถ.สระแก้ว ต.ในเมือง</v>
          </cell>
          <cell r="D416" t="str">
            <v>พิมาย</v>
          </cell>
          <cell r="E416" t="str">
            <v>นครราชสีมา</v>
          </cell>
          <cell r="F416" t="str">
            <v>044-285083</v>
          </cell>
          <cell r="G416" t="str">
            <v/>
          </cell>
        </row>
        <row r="417">
          <cell r="B417" t="str">
            <v>พรประภา</v>
          </cell>
          <cell r="C417" t="str">
            <v>214-4-5 ม.5 ต.สมเด็จ</v>
          </cell>
          <cell r="D417" t="str">
            <v>สมเด็จ</v>
          </cell>
          <cell r="E417" t="str">
            <v>กาฬสินธุ์</v>
          </cell>
          <cell r="F417" t="str">
            <v>043-861462</v>
          </cell>
          <cell r="G417" t="str">
            <v/>
          </cell>
        </row>
        <row r="418">
          <cell r="B418" t="str">
            <v>พอใจการค้า</v>
          </cell>
          <cell r="C418" t="str">
            <v>67 ม.1 เทศบาลดง มะไฟ ขมิ้น</v>
          </cell>
          <cell r="D418" t="str">
            <v>เมือง</v>
          </cell>
          <cell r="E418" t="str">
            <v>สกลนคร</v>
          </cell>
          <cell r="F418" t="str">
            <v>081-6617242</v>
          </cell>
          <cell r="G418" t="str">
            <v/>
          </cell>
        </row>
        <row r="419">
          <cell r="B419" t="str">
            <v>พอดี</v>
          </cell>
          <cell r="C419" t="str">
            <v>113/1 ถ.ศรีราชวงศ์ ต.ตลาด</v>
          </cell>
          <cell r="D419" t="str">
            <v>เมือง</v>
          </cell>
          <cell r="E419" t="str">
            <v>มหาสารคาม</v>
          </cell>
          <cell r="F419" t="str">
            <v>043-721581</v>
          </cell>
          <cell r="G419" t="str">
            <v/>
          </cell>
        </row>
        <row r="420">
          <cell r="B420" t="str">
            <v>พัฒนจักร</v>
          </cell>
          <cell r="C420" t="str">
            <v>360 ถ.พระพันวัสสา ต.ท่าพี่เลี้ยง</v>
          </cell>
          <cell r="D420" t="str">
            <v>เมือง</v>
          </cell>
          <cell r="E420" t="str">
            <v>สุพรรณบุรี</v>
          </cell>
          <cell r="F420" t="str">
            <v>035-522346</v>
          </cell>
          <cell r="G420" t="str">
            <v/>
          </cell>
        </row>
        <row r="421">
          <cell r="B421" t="str">
            <v>พัฒนาอะไหล่</v>
          </cell>
          <cell r="C421" t="str">
            <v>170/2 ม. 2 ถ.คลองใหญ่-หาดเล็ก</v>
          </cell>
          <cell r="D421" t="str">
            <v>คลองใหญ่</v>
          </cell>
          <cell r="E421" t="str">
            <v>ตราด</v>
          </cell>
          <cell r="F421" t="str">
            <v>039-534469</v>
          </cell>
          <cell r="G421" t="str">
            <v/>
          </cell>
        </row>
        <row r="422">
          <cell r="B422" t="str">
            <v>พัวทรัพย์เจริญเซอร์วิส</v>
          </cell>
          <cell r="C422" t="str">
            <v>60/44 ถ.วงโต</v>
          </cell>
          <cell r="D422" t="str">
            <v>เมือง</v>
          </cell>
          <cell r="E422" t="str">
            <v>ชัยนาท</v>
          </cell>
          <cell r="F422" t="str">
            <v>056-411045</v>
          </cell>
          <cell r="G422" t="str">
            <v>056-420974</v>
          </cell>
        </row>
        <row r="423">
          <cell r="B423" t="str">
            <v>พิกุล 1</v>
          </cell>
          <cell r="C423" t="str">
            <v>125 ถ.วังชวา ต.ในเมือง</v>
          </cell>
          <cell r="D423" t="str">
            <v>เมือง</v>
          </cell>
          <cell r="E423" t="str">
            <v>ลำพูน</v>
          </cell>
          <cell r="F423" t="str">
            <v>053-511865</v>
          </cell>
          <cell r="G423" t="str">
            <v/>
          </cell>
        </row>
        <row r="424">
          <cell r="B424" t="str">
            <v>พิชัยจักรยาน 2002</v>
          </cell>
          <cell r="C424" t="str">
            <v>474/1-2 ถ.พหลโยธิน</v>
          </cell>
          <cell r="D424" t="str">
            <v>เมือง</v>
          </cell>
          <cell r="E424" t="str">
            <v>พะเยา</v>
          </cell>
          <cell r="F424" t="str">
            <v>054-431314</v>
          </cell>
          <cell r="G424" t="str">
            <v>054-480345</v>
          </cell>
        </row>
        <row r="425">
          <cell r="B425" t="str">
            <v>พี . เค . มอเตอร์</v>
          </cell>
          <cell r="C425" t="str">
            <v>20 ม. 9 ต.หางดง</v>
          </cell>
          <cell r="D425" t="str">
            <v>ฮอด</v>
          </cell>
          <cell r="E425" t="str">
            <v>เชียงใหม่</v>
          </cell>
          <cell r="F425" t="str">
            <v>053-461046</v>
          </cell>
          <cell r="G425" t="str">
            <v>053-461076</v>
          </cell>
        </row>
        <row r="426">
          <cell r="B426" t="str">
            <v>พี พี เฟอร์นิเจอร์</v>
          </cell>
          <cell r="C426" t="str">
            <v>83 ม.3 ตลาดกระบุรี</v>
          </cell>
          <cell r="D426" t="str">
            <v>กระบุรี</v>
          </cell>
          <cell r="E426" t="str">
            <v>ระนอง</v>
          </cell>
          <cell r="F426" t="str">
            <v>077-891134</v>
          </cell>
          <cell r="G426" t="str">
            <v/>
          </cell>
        </row>
        <row r="427">
          <cell r="B427" t="str">
            <v>พูนศักดิ์การค้า</v>
          </cell>
          <cell r="C427" t="str">
            <v>40 ม.15 ต.เพ็ญ</v>
          </cell>
          <cell r="D427" t="str">
            <v>เพ็ญ</v>
          </cell>
          <cell r="E427" t="str">
            <v>อุดรธานี</v>
          </cell>
          <cell r="F427" t="str">
            <v>042-279165</v>
          </cell>
          <cell r="G427" t="str">
            <v>042-273379</v>
          </cell>
        </row>
        <row r="428">
          <cell r="B428" t="str">
            <v>ฟรอริดาจักรยาน</v>
          </cell>
          <cell r="C428" t="str">
            <v>164 ม.1 หน้าสระศรีมงคล</v>
          </cell>
          <cell r="D428" t="str">
            <v>น้ำโสม</v>
          </cell>
          <cell r="E428" t="str">
            <v>อุดรธานี</v>
          </cell>
          <cell r="F428" t="str">
            <v>042-289147</v>
          </cell>
          <cell r="G428" t="str">
            <v/>
          </cell>
        </row>
        <row r="429">
          <cell r="B429" t="str">
            <v>ฟุยอะไหล่ยนต์</v>
          </cell>
          <cell r="C429" t="str">
            <v>54/4 ม.8 ต.เวียง</v>
          </cell>
          <cell r="D429" t="str">
            <v>เมือง</v>
          </cell>
          <cell r="E429" t="str">
            <v>เชียงราย</v>
          </cell>
          <cell r="F429" t="str">
            <v>053-791354</v>
          </cell>
          <cell r="G429" t="str">
            <v>053-655632</v>
          </cell>
        </row>
        <row r="430">
          <cell r="B430" t="str">
            <v>ภัณฑ์นานาดีพาร์ทเม้นสโตร์</v>
          </cell>
          <cell r="C430" t="str">
            <v>10/39 ต.วัดสิงห์</v>
          </cell>
          <cell r="D430" t="str">
            <v>วัดสิงห์</v>
          </cell>
          <cell r="E430" t="str">
            <v>ชัยนาท</v>
          </cell>
          <cell r="F430" t="str">
            <v>056-461590</v>
          </cell>
          <cell r="G430" t="str">
            <v/>
          </cell>
        </row>
        <row r="431">
          <cell r="B431" t="str">
            <v>ภู่ยี่กี่</v>
          </cell>
          <cell r="C431" t="str">
            <v>117 ถ.เทศบาล 10</v>
          </cell>
          <cell r="D431" t="str">
            <v>เมือง</v>
          </cell>
          <cell r="E431" t="str">
            <v>อ่างทอง</v>
          </cell>
          <cell r="F431" t="str">
            <v>035-611192</v>
          </cell>
          <cell r="G431" t="str">
            <v/>
          </cell>
        </row>
        <row r="432">
          <cell r="B432" t="str">
            <v>มโนทัย</v>
          </cell>
          <cell r="C432" t="str">
            <v>17 ม.1 ต.ศรีวิไล</v>
          </cell>
          <cell r="D432" t="str">
            <v>ศรีวิไล</v>
          </cell>
          <cell r="E432" t="str">
            <v>หนองคาย</v>
          </cell>
          <cell r="F432" t="str">
            <v>042-497074</v>
          </cell>
          <cell r="G432" t="str">
            <v/>
          </cell>
        </row>
        <row r="433">
          <cell r="B433" t="str">
            <v>มงคลจักรยาน</v>
          </cell>
          <cell r="C433" t="str">
            <v>67/71 ศูนย์การค้าสาย 2 ถ.สุขุมวิท</v>
          </cell>
          <cell r="D433" t="str">
            <v>เมือง</v>
          </cell>
          <cell r="E433" t="str">
            <v>ระยอง</v>
          </cell>
          <cell r="F433" t="str">
            <v>038-613311</v>
          </cell>
          <cell r="G433" t="str">
            <v/>
          </cell>
        </row>
        <row r="434">
          <cell r="B434" t="str">
            <v>มอเตอร์เซอร์วิส</v>
          </cell>
          <cell r="C434" t="str">
            <v>379 ม.6 บ้านคำบิด ต.คำบ่อ</v>
          </cell>
          <cell r="D434" t="str">
            <v>วาริชภูมิ</v>
          </cell>
          <cell r="E434" t="str">
            <v>สกลนคร</v>
          </cell>
          <cell r="F434" t="str">
            <v>042-774104</v>
          </cell>
          <cell r="G434" t="str">
            <v>042-774017</v>
          </cell>
        </row>
        <row r="435">
          <cell r="B435" t="str">
            <v>มานพเจริญยนต์</v>
          </cell>
          <cell r="C435" t="str">
            <v>34/5 ต.พรหมประเสริฐ</v>
          </cell>
          <cell r="D435" t="str">
            <v>เมือง</v>
          </cell>
          <cell r="E435" t="str">
            <v>ชัยนาท</v>
          </cell>
          <cell r="F435" t="str">
            <v>056-411366</v>
          </cell>
          <cell r="G435" t="str">
            <v/>
          </cell>
        </row>
        <row r="436">
          <cell r="B436" t="str">
            <v>มานะชัย</v>
          </cell>
          <cell r="C436" t="str">
            <v>582 ม.1 ถ.ใหญ่</v>
          </cell>
          <cell r="D436" t="str">
            <v>ท่ายาง</v>
          </cell>
          <cell r="E436" t="str">
            <v>เพชรบุรี</v>
          </cell>
          <cell r="F436" t="str">
            <v>032-461243</v>
          </cell>
          <cell r="G436" t="str">
            <v/>
          </cell>
        </row>
        <row r="437">
          <cell r="B437" t="str">
            <v>มารวยการค้า</v>
          </cell>
          <cell r="C437" t="str">
            <v>54/2 (ติดธนาคารกสิกร)</v>
          </cell>
          <cell r="D437" t="str">
            <v>ท่าอุเทน</v>
          </cell>
          <cell r="E437" t="str">
            <v>นครพนม</v>
          </cell>
          <cell r="F437" t="str">
            <v>042-524147</v>
          </cell>
          <cell r="G437" t="str">
            <v>09-7149761</v>
          </cell>
        </row>
        <row r="438">
          <cell r="B438" t="str">
            <v>มาวินจักรยาน</v>
          </cell>
          <cell r="C438" t="str">
            <v>242 ม.2</v>
          </cell>
          <cell r="D438" t="str">
            <v>โนนดินแดง</v>
          </cell>
          <cell r="E438" t="str">
            <v>บุรีรัมย์</v>
          </cell>
          <cell r="F438" t="str">
            <v>044-606138</v>
          </cell>
          <cell r="G438" t="str">
            <v/>
          </cell>
        </row>
        <row r="439">
          <cell r="B439" t="str">
            <v>มิตรแก๊ส</v>
          </cell>
          <cell r="C439" t="str">
            <v>25/1 ม. 5 ต.หนองหญ้าไซ</v>
          </cell>
          <cell r="D439" t="str">
            <v>หนองหญ้าไซ</v>
          </cell>
          <cell r="E439" t="str">
            <v>สุพรรณบุรี</v>
          </cell>
          <cell r="F439" t="str">
            <v>035-411156</v>
          </cell>
          <cell r="G439" t="str">
            <v/>
          </cell>
        </row>
        <row r="440">
          <cell r="B440" t="str">
            <v>มิตรโกศล</v>
          </cell>
          <cell r="C440" t="str">
            <v/>
          </cell>
          <cell r="D440" t="str">
            <v>เมือง</v>
          </cell>
          <cell r="E440" t="str">
            <v>มุกดาหาร</v>
          </cell>
          <cell r="F440" t="str">
            <v>042-611394</v>
          </cell>
          <cell r="G440" t="str">
            <v/>
          </cell>
        </row>
        <row r="441">
          <cell r="B441" t="str">
            <v>มิตรจักรยาน</v>
          </cell>
          <cell r="C441" t="str">
            <v>48 ถ.อุบลศักดิ์</v>
          </cell>
          <cell r="D441" t="str">
            <v>เมือง</v>
          </cell>
          <cell r="E441" t="str">
            <v>อุบลราชธานี</v>
          </cell>
          <cell r="F441" t="str">
            <v>045-241641</v>
          </cell>
          <cell r="G441" t="str">
            <v>045-262616</v>
          </cell>
        </row>
        <row r="442">
          <cell r="B442" t="str">
            <v>มิตรจักรยาน</v>
          </cell>
          <cell r="C442" t="str">
            <v>374/1-2 ถ.พิชัย ต.ปากเพียว</v>
          </cell>
          <cell r="D442" t="str">
            <v>เมือง</v>
          </cell>
          <cell r="E442" t="str">
            <v>สระบุรี</v>
          </cell>
          <cell r="F442" t="str">
            <v>036-211648</v>
          </cell>
          <cell r="G442" t="str">
            <v/>
          </cell>
        </row>
        <row r="443">
          <cell r="B443" t="str">
            <v>มิตรจักรยาน</v>
          </cell>
          <cell r="C443" t="str">
            <v>240-242 ถ.หน้าเมือง</v>
          </cell>
          <cell r="D443" t="str">
            <v>เมือง</v>
          </cell>
          <cell r="E443" t="str">
            <v>สุราษฎร์ธานี</v>
          </cell>
          <cell r="F443" t="str">
            <v>077-272948</v>
          </cell>
          <cell r="G443" t="str">
            <v/>
          </cell>
        </row>
        <row r="444">
          <cell r="B444" t="str">
            <v>มิตรประชา</v>
          </cell>
          <cell r="C444" t="str">
            <v>174/2 ถนนสุขาภิบาล ต.ทับสะแก</v>
          </cell>
          <cell r="D444" t="str">
            <v>ทับสะแก</v>
          </cell>
          <cell r="E444" t="str">
            <v>ประจวบคีรีขัน</v>
          </cell>
          <cell r="F444" t="str">
            <v>032-671205</v>
          </cell>
          <cell r="G444" t="str">
            <v/>
          </cell>
        </row>
        <row r="445">
          <cell r="B445" t="str">
            <v>มิตรศรีทอง</v>
          </cell>
          <cell r="C445" t="str">
            <v>67/20 ถ.พิบูลย์</v>
          </cell>
          <cell r="D445" t="str">
            <v>พิบูลมังสาหาร</v>
          </cell>
          <cell r="E445" t="str">
            <v>อุบลราชธานี</v>
          </cell>
          <cell r="F445" t="str">
            <v>045-441364</v>
          </cell>
          <cell r="G445" t="str">
            <v/>
          </cell>
        </row>
        <row r="446">
          <cell r="B446" t="str">
            <v>มิตรศิลป์เฟอร์นิเจอร์</v>
          </cell>
          <cell r="C446" t="str">
            <v>58 ถ.ตลาดใหม่</v>
          </cell>
          <cell r="D446" t="str">
            <v>พุนพิน</v>
          </cell>
          <cell r="E446" t="str">
            <v>สุราษฎร์ธานี</v>
          </cell>
          <cell r="F446" t="str">
            <v>077-311855</v>
          </cell>
          <cell r="G446" t="str">
            <v>077-312038</v>
          </cell>
        </row>
        <row r="447">
          <cell r="B447" t="str">
            <v>มีชัยการไฟฟ้า</v>
          </cell>
          <cell r="C447" t="str">
            <v>018 ม. 8 ต.ไตรตรึงษ์</v>
          </cell>
          <cell r="D447" t="str">
            <v>เมือง</v>
          </cell>
          <cell r="E447" t="str">
            <v>กำแพงเพชร</v>
          </cell>
          <cell r="F447" t="str">
            <v>055-739311</v>
          </cell>
          <cell r="G447" t="str">
            <v/>
          </cell>
        </row>
        <row r="448">
          <cell r="B448" t="str">
            <v>มีชัยพาณิชย์</v>
          </cell>
          <cell r="C448" t="str">
            <v>8 ม.6 ถ.วัดกลาง</v>
          </cell>
          <cell r="D448" t="str">
            <v>พนมไพร</v>
          </cell>
          <cell r="E448" t="str">
            <v>ร้อยเอ็ด</v>
          </cell>
          <cell r="F448" t="str">
            <v>043-591170</v>
          </cell>
          <cell r="G448" t="str">
            <v/>
          </cell>
        </row>
        <row r="449">
          <cell r="B449" t="str">
            <v>มีสิทธิ์อะไหล่</v>
          </cell>
          <cell r="C449" t="str">
            <v>62 ม.1 ต.สามแยก</v>
          </cell>
          <cell r="D449" t="str">
            <v>เลิงนกทา</v>
          </cell>
          <cell r="E449" t="str">
            <v>ยโสธร</v>
          </cell>
          <cell r="F449" t="str">
            <v>045-782012</v>
          </cell>
          <cell r="G449" t="str">
            <v/>
          </cell>
        </row>
        <row r="450">
          <cell r="B450" t="str">
            <v>มุ้ยเฟอร์นิเจอร์</v>
          </cell>
          <cell r="C450" t="str">
            <v>91 ม.4 บ.เจนจบทิศ ประทาย</v>
          </cell>
          <cell r="D450" t="str">
            <v>ประทาย</v>
          </cell>
          <cell r="E450" t="str">
            <v>นครราชสีมา</v>
          </cell>
          <cell r="F450" t="str">
            <v>044-489067</v>
          </cell>
          <cell r="G450" t="str">
            <v/>
          </cell>
        </row>
        <row r="451">
          <cell r="B451" t="str">
            <v>ยงไทยจักรยาน</v>
          </cell>
          <cell r="C451" t="str">
            <v>181 ถ. เทศบาล 23 ต.ในเมือง</v>
          </cell>
          <cell r="D451" t="str">
            <v>เมือง</v>
          </cell>
          <cell r="E451" t="str">
            <v>กาฬสินธุ์</v>
          </cell>
          <cell r="F451" t="str">
            <v>043-811130</v>
          </cell>
          <cell r="G451" t="str">
            <v/>
          </cell>
        </row>
        <row r="452">
          <cell r="B452" t="str">
            <v>ยนต์เจริญ</v>
          </cell>
          <cell r="C452" t="str">
            <v>129/1 ม.1</v>
          </cell>
          <cell r="D452" t="str">
            <v>วัดโบสถ์</v>
          </cell>
          <cell r="E452" t="str">
            <v>พิษณุโลก</v>
          </cell>
          <cell r="F452" t="str">
            <v>055-361074</v>
          </cell>
          <cell r="G452" t="str">
            <v>055-291802</v>
          </cell>
        </row>
        <row r="453">
          <cell r="B453" t="str">
            <v>ยนต์ชัย</v>
          </cell>
          <cell r="C453" t="str">
            <v>122 ถ.พหลโยธิน</v>
          </cell>
          <cell r="D453" t="str">
            <v>แม่สาย</v>
          </cell>
          <cell r="E453" t="str">
            <v>เชียงราย</v>
          </cell>
          <cell r="F453" t="str">
            <v>053-731019</v>
          </cell>
          <cell r="G453" t="str">
            <v/>
          </cell>
        </row>
        <row r="454">
          <cell r="B454" t="str">
            <v>ยานประเสริฐ</v>
          </cell>
          <cell r="C454" t="str">
            <v>168/5 หมู่10 ต. วังสะพุง</v>
          </cell>
          <cell r="D454" t="str">
            <v>วังสะพุง</v>
          </cell>
          <cell r="E454" t="str">
            <v>เลย</v>
          </cell>
          <cell r="F454" t="str">
            <v>042-841186</v>
          </cell>
          <cell r="G454" t="str">
            <v/>
          </cell>
        </row>
        <row r="455">
          <cell r="B455" t="str">
            <v>ยานยนต์การช่าง</v>
          </cell>
          <cell r="C455" t="str">
            <v>443 ถ.ศรีสวย ต.สว่างแดนดิน</v>
          </cell>
          <cell r="D455" t="str">
            <v>สว่างแดนดิน</v>
          </cell>
          <cell r="E455" t="str">
            <v>สกลนคร</v>
          </cell>
          <cell r="F455" t="str">
            <v>042-721417</v>
          </cell>
          <cell r="G455" t="str">
            <v/>
          </cell>
        </row>
        <row r="456">
          <cell r="B456" t="str">
            <v>ยิ่งเจริญ</v>
          </cell>
          <cell r="C456" t="str">
            <v>48 ม.5 ต.เชียงกลาง</v>
          </cell>
          <cell r="D456" t="str">
            <v>เชียงกลาง</v>
          </cell>
          <cell r="E456" t="str">
            <v>น่าน</v>
          </cell>
          <cell r="F456" t="str">
            <v>054-797050</v>
          </cell>
          <cell r="G456" t="str">
            <v/>
          </cell>
        </row>
        <row r="457">
          <cell r="B457" t="str">
            <v>ยีน</v>
          </cell>
          <cell r="C457" t="str">
            <v>122 ม.5 ถ.วิทยุพัฒน์ ต.สมเด็จ</v>
          </cell>
          <cell r="D457" t="str">
            <v>สมเด็จ</v>
          </cell>
          <cell r="E457" t="str">
            <v>กาฬสินธุ์</v>
          </cell>
          <cell r="F457" t="str">
            <v>086-4514342</v>
          </cell>
          <cell r="G457" t="str">
            <v>084-7887355</v>
          </cell>
        </row>
        <row r="458">
          <cell r="B458" t="str">
            <v>รถถีบ</v>
          </cell>
          <cell r="C458" t="str">
            <v>290/34-35 ถ.ปรมินทร ต.ท่าตะเภา</v>
          </cell>
          <cell r="D458" t="str">
            <v>เมือง</v>
          </cell>
          <cell r="E458" t="str">
            <v>ชุมพร</v>
          </cell>
          <cell r="F458" t="str">
            <v>077-512351</v>
          </cell>
          <cell r="G458" t="str">
            <v>085-8887424</v>
          </cell>
        </row>
        <row r="459">
          <cell r="B459" t="str">
            <v>รวมเจริญอะไหล่ยนต์</v>
          </cell>
          <cell r="C459" t="str">
            <v>ต.แม่กลอง</v>
          </cell>
          <cell r="D459" t="str">
            <v>เมือง</v>
          </cell>
          <cell r="E459" t="str">
            <v>สมุทรสงคราม</v>
          </cell>
          <cell r="F459" t="str">
            <v>034-715526</v>
          </cell>
          <cell r="G459" t="str">
            <v/>
          </cell>
        </row>
        <row r="460">
          <cell r="B460" t="str">
            <v>รวมชัยจักรยาน</v>
          </cell>
          <cell r="C460" t="str">
            <v>20/3-4 หมู่ 1 ถ.โล่สุวรรณ ต.สังขะ</v>
          </cell>
          <cell r="D460" t="str">
            <v>สังขะ</v>
          </cell>
          <cell r="E460" t="str">
            <v>สุรินทร์</v>
          </cell>
          <cell r="F460" t="str">
            <v/>
          </cell>
          <cell r="G460" t="str">
            <v/>
          </cell>
        </row>
        <row r="461">
          <cell r="B461" t="str">
            <v>ร่วมวิวัฒน์บริการ</v>
          </cell>
          <cell r="C461" t="str">
            <v>099 ถ.จันดี-สวนขัน ต.จันดี</v>
          </cell>
          <cell r="D461" t="str">
            <v>ฉวาง</v>
          </cell>
          <cell r="E461" t="str">
            <v>นครศรีธรรมราช</v>
          </cell>
          <cell r="F461" t="str">
            <v>075-486215</v>
          </cell>
          <cell r="G461" t="str">
            <v/>
          </cell>
        </row>
        <row r="462">
          <cell r="B462" t="str">
            <v>ร้อยล้านจักรยาน</v>
          </cell>
          <cell r="C462" t="str">
            <v>313/6 ม.4 ต.วานรนิวาส</v>
          </cell>
          <cell r="D462" t="str">
            <v>วานรนิวาส</v>
          </cell>
          <cell r="E462" t="str">
            <v>สกลนคร</v>
          </cell>
          <cell r="F462" t="str">
            <v>042-791297</v>
          </cell>
          <cell r="G462" t="str">
            <v/>
          </cell>
        </row>
        <row r="463">
          <cell r="B463" t="str">
            <v>รัตนการช่าง</v>
          </cell>
          <cell r="C463" t="str">
            <v>659/1 ม.2 ต.ท่ามะเขือ</v>
          </cell>
          <cell r="D463" t="str">
            <v>คลองขลุง</v>
          </cell>
          <cell r="E463" t="str">
            <v>กำแพงเพชร</v>
          </cell>
          <cell r="F463" t="str">
            <v>055-863083</v>
          </cell>
          <cell r="G463" t="str">
            <v/>
          </cell>
        </row>
        <row r="464">
          <cell r="B464" t="str">
            <v>รัตนพงษ์</v>
          </cell>
          <cell r="C464" t="str">
            <v>82 ม.5 ต.ขามป้อม</v>
          </cell>
          <cell r="D464" t="str">
            <v>เขมราฐ</v>
          </cell>
          <cell r="E464" t="str">
            <v>อุบลราชธานี</v>
          </cell>
          <cell r="F464" t="str">
            <v>045-215036</v>
          </cell>
          <cell r="G464" t="str">
            <v/>
          </cell>
        </row>
        <row r="465">
          <cell r="B465" t="str">
            <v>รัตนพานิช</v>
          </cell>
          <cell r="C465" t="str">
            <v>69/2 ต.เชียงยืน</v>
          </cell>
          <cell r="D465" t="str">
            <v>เชียงยืน</v>
          </cell>
          <cell r="E465" t="str">
            <v>มหาสารคาม</v>
          </cell>
          <cell r="F465" t="str">
            <v/>
          </cell>
          <cell r="G465" t="str">
            <v/>
          </cell>
        </row>
        <row r="466">
          <cell r="B466" t="str">
            <v>ราชาเฟอร์นิเจอร์</v>
          </cell>
          <cell r="C466" t="str">
            <v>53 ม.1 ถ.เจ้าแม่สองนาง</v>
          </cell>
          <cell r="D466" t="str">
            <v>บึงกาฬ</v>
          </cell>
          <cell r="E466" t="str">
            <v>หนองคาย</v>
          </cell>
          <cell r="F466" t="str">
            <v>042-491076</v>
          </cell>
          <cell r="G466" t="str">
            <v>09-9417788</v>
          </cell>
        </row>
        <row r="467">
          <cell r="B467" t="str">
            <v>ราชาจักรยาน</v>
          </cell>
          <cell r="C467" t="str">
            <v>189 หมู่ 1 ถ.เกษมสมบัติ ต.ขุหลุ</v>
          </cell>
          <cell r="D467" t="str">
            <v>ตระการพืชผล</v>
          </cell>
          <cell r="E467" t="str">
            <v>อุบลราชธานี</v>
          </cell>
          <cell r="F467" t="str">
            <v>045-481511</v>
          </cell>
          <cell r="G467" t="str">
            <v/>
          </cell>
        </row>
        <row r="468">
          <cell r="B468" t="str">
            <v>ร้านเจ๊เฮ็ง</v>
          </cell>
          <cell r="C468" t="str">
            <v>107/56 ต.เชียงทอง</v>
          </cell>
          <cell r="D468" t="str">
            <v>วังเจ้า</v>
          </cell>
          <cell r="E468" t="str">
            <v>ตาก</v>
          </cell>
          <cell r="F468" t="str">
            <v>055-556251</v>
          </cell>
          <cell r="G468" t="str">
            <v/>
          </cell>
        </row>
        <row r="469">
          <cell r="B469" t="str">
            <v>ร้านเจริญชัย</v>
          </cell>
          <cell r="C469" t="str">
            <v>13 ม.4 ต.จักรราช</v>
          </cell>
          <cell r="D469" t="str">
            <v>จักรราช</v>
          </cell>
          <cell r="E469" t="str">
            <v>นครราชสีมา</v>
          </cell>
          <cell r="F469" t="str">
            <v>044-399175</v>
          </cell>
          <cell r="G469" t="str">
            <v/>
          </cell>
        </row>
        <row r="470">
          <cell r="B470" t="str">
            <v>ร้านเท็นจักรยาน</v>
          </cell>
          <cell r="C470" t="str">
            <v>59/282 หมู่ 2 ตลาดสดมหาชัยเมืองใหม่</v>
          </cell>
          <cell r="D470" t="str">
            <v>เมือง</v>
          </cell>
          <cell r="E470" t="str">
            <v>สมุทรสาคร</v>
          </cell>
          <cell r="F470" t="str">
            <v>034-812572</v>
          </cell>
          <cell r="G470" t="str">
            <v/>
          </cell>
        </row>
        <row r="471">
          <cell r="B471" t="str">
            <v>ร้านคุณสุรเชษฐ์ (วรรณายนตการ)</v>
          </cell>
          <cell r="C471" t="str">
            <v>112 ถ.ร่วมใจ ต. ตะพานหิน</v>
          </cell>
          <cell r="D471" t="str">
            <v>ตะพานหิน</v>
          </cell>
          <cell r="E471" t="str">
            <v>พิจิตร</v>
          </cell>
          <cell r="F471" t="str">
            <v>056-622262</v>
          </cell>
          <cell r="G471" t="str">
            <v/>
          </cell>
        </row>
        <row r="472">
          <cell r="B472" t="str">
            <v>ร้านนายจันทร์จักรยาน</v>
          </cell>
          <cell r="C472" t="str">
            <v>161/1 ถ.กลางเมือง</v>
          </cell>
          <cell r="D472" t="str">
            <v>เมือง</v>
          </cell>
          <cell r="E472" t="str">
            <v>ขอนแก่น</v>
          </cell>
          <cell r="F472" t="str">
            <v>081-3800494</v>
          </cell>
          <cell r="G472" t="str">
            <v/>
          </cell>
        </row>
        <row r="473">
          <cell r="B473" t="str">
            <v>ราม่าจักรยาน</v>
          </cell>
          <cell r="C473" t="str">
            <v>8/34 ต. ห้วยพลู</v>
          </cell>
          <cell r="D473" t="str">
            <v>นครชัยศรี</v>
          </cell>
          <cell r="E473" t="str">
            <v>นครปฐม</v>
          </cell>
          <cell r="F473" t="str">
            <v>034-389446</v>
          </cell>
          <cell r="G473" t="str">
            <v/>
          </cell>
        </row>
        <row r="474">
          <cell r="B474" t="str">
            <v>รามาทีวี</v>
          </cell>
          <cell r="C474" t="str">
            <v>212 ถ.จรดวิถีถ่อง ธานี</v>
          </cell>
          <cell r="D474" t="str">
            <v>เมือง</v>
          </cell>
          <cell r="E474" t="str">
            <v>สุโขทัย</v>
          </cell>
          <cell r="F474" t="str">
            <v>055-612052</v>
          </cell>
          <cell r="G474" t="str">
            <v/>
          </cell>
        </row>
        <row r="475">
          <cell r="B475" t="str">
            <v>รุ่งเพชรพานิช</v>
          </cell>
          <cell r="C475" t="str">
            <v>44 ม. 12 ต.ทุ่งถ่อ</v>
          </cell>
          <cell r="D475" t="str">
            <v>เวียงเชียงรุ่</v>
          </cell>
          <cell r="E475" t="str">
            <v>เชียงราย</v>
          </cell>
          <cell r="F475" t="str">
            <v>053-953374</v>
          </cell>
          <cell r="G475" t="str">
            <v/>
          </cell>
        </row>
        <row r="476">
          <cell r="B476" t="str">
            <v>รุ่งเรืองเฟอร์นิเจอร์</v>
          </cell>
          <cell r="C476" t="str">
            <v>315 ม. 1 ต.วังมะปรางเหนือ</v>
          </cell>
          <cell r="D476" t="str">
            <v>วังวิเศษ</v>
          </cell>
          <cell r="E476" t="str">
            <v>ตรัง</v>
          </cell>
          <cell r="F476" t="str">
            <v>075-262087</v>
          </cell>
          <cell r="G476" t="str">
            <v/>
          </cell>
        </row>
        <row r="477">
          <cell r="B477" t="str">
            <v>รุ่งเรืองการช่าง</v>
          </cell>
          <cell r="C477" t="str">
            <v>(ตลาด อ.หันคา)</v>
          </cell>
          <cell r="D477" t="str">
            <v>หันคา</v>
          </cell>
          <cell r="E477" t="str">
            <v>ชัยนาท</v>
          </cell>
          <cell r="F477" t="str">
            <v>056-451284</v>
          </cell>
          <cell r="G477" t="str">
            <v/>
          </cell>
        </row>
        <row r="478">
          <cell r="B478" t="str">
            <v>รุ่งเรืองอะไหล่</v>
          </cell>
          <cell r="C478" t="str">
            <v/>
          </cell>
          <cell r="D478" t="str">
            <v>อ.คลองท่อม</v>
          </cell>
          <cell r="E478" t="str">
            <v>กระบี่</v>
          </cell>
          <cell r="F478" t="str">
            <v/>
          </cell>
          <cell r="G478" t="str">
            <v/>
          </cell>
        </row>
        <row r="479">
          <cell r="B479" t="str">
            <v>รุ่งโรจน์</v>
          </cell>
          <cell r="C479" t="str">
            <v>32/2 ถ.ผดุงประชากรณ์ ต. หัวขวาง</v>
          </cell>
          <cell r="D479" t="str">
            <v>โกสุมพิสัย</v>
          </cell>
          <cell r="E479" t="str">
            <v>มหาสารคาม</v>
          </cell>
          <cell r="F479" t="str">
            <v>043-761278</v>
          </cell>
          <cell r="G479" t="str">
            <v/>
          </cell>
        </row>
        <row r="480">
          <cell r="B480" t="str">
            <v>รุ่งโรจน์</v>
          </cell>
          <cell r="C480" t="str">
            <v>103-104 ถ.ศรีสัชนาลัย</v>
          </cell>
          <cell r="D480" t="str">
            <v>สวรรคโลก</v>
          </cell>
          <cell r="E480" t="str">
            <v>สุโขทัย</v>
          </cell>
          <cell r="F480" t="str">
            <v>01-8873913</v>
          </cell>
          <cell r="G480" t="str">
            <v/>
          </cell>
        </row>
        <row r="481">
          <cell r="B481" t="str">
            <v>รุ่งกิจ</v>
          </cell>
          <cell r="C481" t="str">
            <v>173-4 ม.9 ถ.จิตประสงค์ ต.กุมภวาปี</v>
          </cell>
          <cell r="D481" t="str">
            <v>กุมภวาปี</v>
          </cell>
          <cell r="E481" t="str">
            <v>อุดรธานี</v>
          </cell>
          <cell r="F481" t="str">
            <v>042-331108</v>
          </cell>
          <cell r="G481" t="str">
            <v/>
          </cell>
        </row>
        <row r="482">
          <cell r="B482" t="str">
            <v>รุ่งกิจจักรยาน</v>
          </cell>
          <cell r="C482" t="str">
            <v>637 ต.หนองไผ่</v>
          </cell>
          <cell r="D482" t="str">
            <v>หนองไผ่</v>
          </cell>
          <cell r="E482" t="str">
            <v>เพชรบูรณ์</v>
          </cell>
          <cell r="F482" t="str">
            <v>056-781254</v>
          </cell>
          <cell r="G482" t="str">
            <v/>
          </cell>
        </row>
        <row r="483">
          <cell r="B483" t="str">
            <v>รุ่งถาวรจักรยาน</v>
          </cell>
          <cell r="C483" t="str">
            <v>22 ถ.เพชรเมือง ต.นาสาร</v>
          </cell>
          <cell r="D483" t="str">
            <v>นาสาร</v>
          </cell>
          <cell r="E483" t="str">
            <v>สุราษฎร์ธานี</v>
          </cell>
          <cell r="F483" t="str">
            <v>077-341256</v>
          </cell>
          <cell r="G483" t="str">
            <v/>
          </cell>
        </row>
        <row r="484">
          <cell r="B484" t="str">
            <v>รุ่งทวีทรัพย์</v>
          </cell>
          <cell r="C484" t="str">
            <v>300 ม.1</v>
          </cell>
          <cell r="D484" t="str">
            <v>ท่าตะโก</v>
          </cell>
          <cell r="E484" t="str">
            <v>นครสวรรค์</v>
          </cell>
          <cell r="F484" t="str">
            <v>056-249054</v>
          </cell>
          <cell r="G484" t="str">
            <v/>
          </cell>
        </row>
        <row r="485">
          <cell r="B485" t="str">
            <v>รุ่งอะไหล่</v>
          </cell>
          <cell r="C485" t="str">
            <v>สี่แยกไฟแดงท่าช้าง</v>
          </cell>
          <cell r="D485" t="str">
            <v>ท่าช้าง</v>
          </cell>
          <cell r="E485" t="str">
            <v>สิงห์บุรี</v>
          </cell>
          <cell r="F485" t="str">
            <v>089-8095739</v>
          </cell>
          <cell r="G485" t="str">
            <v/>
          </cell>
        </row>
        <row r="486">
          <cell r="B486" t="str">
            <v>ฤทัยเฟอร์นิเจอร์</v>
          </cell>
          <cell r="C486" t="str">
            <v>105/2 ม.4 ต.หินตก</v>
          </cell>
          <cell r="D486" t="str">
            <v>ร่อนพิบูลย์</v>
          </cell>
          <cell r="E486" t="str">
            <v>นครศรีธรรมราช</v>
          </cell>
          <cell r="F486" t="str">
            <v>075-373272</v>
          </cell>
          <cell r="G486" t="str">
            <v/>
          </cell>
        </row>
        <row r="487">
          <cell r="B487" t="str">
            <v>ลพบุรีจักรยาน</v>
          </cell>
          <cell r="C487" t="str">
            <v>111 ต.สุระสาคราม ต.ท่าหิน</v>
          </cell>
          <cell r="D487" t="str">
            <v>อ.เมือง</v>
          </cell>
          <cell r="E487" t="str">
            <v>ลพบุรี</v>
          </cell>
          <cell r="F487" t="str">
            <v>036-411898</v>
          </cell>
          <cell r="G487" t="str">
            <v/>
          </cell>
        </row>
        <row r="488">
          <cell r="B488" t="str">
            <v>ล้อทองจักรยาน</v>
          </cell>
          <cell r="C488" t="str">
            <v>66 ถ.ศรีเทพ 1</v>
          </cell>
          <cell r="D488" t="str">
            <v>ตาคลี</v>
          </cell>
          <cell r="E488" t="str">
            <v>นครสวรรค์</v>
          </cell>
          <cell r="F488" t="str">
            <v>056-264480</v>
          </cell>
          <cell r="G488" t="str">
            <v/>
          </cell>
        </row>
        <row r="489">
          <cell r="B489" t="str">
            <v>ลัดดา</v>
          </cell>
          <cell r="C489" t="str">
            <v>23 หมู่ 2 ถ.ชมฐีระเวช</v>
          </cell>
          <cell r="D489" t="str">
            <v>ทัพค้อ</v>
          </cell>
          <cell r="E489" t="str">
            <v>พิจิตร</v>
          </cell>
          <cell r="F489" t="str">
            <v>056-641159</v>
          </cell>
          <cell r="G489" t="str">
            <v/>
          </cell>
        </row>
        <row r="490">
          <cell r="B490" t="str">
            <v>ลำทะเมนชัยจักรยาน</v>
          </cell>
          <cell r="C490" t="str">
            <v>54/1 บ้านหนองบัววง กิ่งอ.ลำทะแมนชัย</v>
          </cell>
          <cell r="D490" t="str">
            <v>ชุมพวง</v>
          </cell>
          <cell r="E490" t="str">
            <v>นครราชสีมา</v>
          </cell>
          <cell r="F490" t="str">
            <v>09-8622683</v>
          </cell>
          <cell r="G490" t="str">
            <v/>
          </cell>
        </row>
        <row r="491">
          <cell r="B491" t="str">
            <v>ลิ้มมุ่ยหลี</v>
          </cell>
          <cell r="C491" t="str">
            <v>591-593 ตลาดกังวานวัฒนา ถ.มิตรภาพ</v>
          </cell>
          <cell r="D491" t="str">
            <v>ปากช่อง</v>
          </cell>
          <cell r="E491" t="str">
            <v>นครราชสีมา</v>
          </cell>
          <cell r="F491" t="str">
            <v>044-311542</v>
          </cell>
          <cell r="G491" t="str">
            <v/>
          </cell>
        </row>
        <row r="492">
          <cell r="B492" t="str">
            <v>ลิ้มรุ่งแสง</v>
          </cell>
          <cell r="C492" t="str">
            <v>194/4 ถ. เพชรเกษม-ชายทะเล</v>
          </cell>
          <cell r="D492" t="str">
            <v>บางสะพาน</v>
          </cell>
          <cell r="E492" t="str">
            <v>ประจวบคีรีขัน</v>
          </cell>
          <cell r="F492" t="str">
            <v>032-691021</v>
          </cell>
          <cell r="G492" t="str">
            <v/>
          </cell>
        </row>
        <row r="493">
          <cell r="B493" t="str">
            <v>วนิชาภัณฑ์เฟอร์นิเจอร์</v>
          </cell>
          <cell r="C493" t="str">
            <v>220/3-4 ม. 16 ต. ท่าแซะ</v>
          </cell>
          <cell r="D493" t="str">
            <v>ท่าแซะ</v>
          </cell>
          <cell r="E493" t="str">
            <v>ชุมพร</v>
          </cell>
          <cell r="F493" t="str">
            <v>077-599959,</v>
          </cell>
          <cell r="G493" t="str">
            <v>01-7973155</v>
          </cell>
        </row>
        <row r="494">
          <cell r="B494" t="str">
            <v>ว่องไพบูลย์</v>
          </cell>
          <cell r="C494" t="str">
            <v>21 ถ.ราษฎร์นิยม</v>
          </cell>
          <cell r="D494" t="str">
            <v>สองพี่น้อง</v>
          </cell>
          <cell r="E494" t="str">
            <v>สุพรรณบุรี</v>
          </cell>
          <cell r="F494" t="str">
            <v>089-1587313</v>
          </cell>
          <cell r="G494" t="str">
            <v/>
          </cell>
        </row>
        <row r="495">
          <cell r="B495" t="str">
            <v>วังชิ้นเคหะภัณฑ์</v>
          </cell>
          <cell r="C495" t="str">
            <v>170 ม.10 บ้านใหม่ ต.วังชิ้น</v>
          </cell>
          <cell r="D495" t="str">
            <v>วังชิ้น</v>
          </cell>
          <cell r="E495" t="str">
            <v>แพร่</v>
          </cell>
          <cell r="F495" t="str">
            <v>054-588108</v>
          </cell>
          <cell r="G495" t="str">
            <v>06-1958928</v>
          </cell>
        </row>
        <row r="496">
          <cell r="B496" t="str">
            <v>วังสามหมอจักรยาน</v>
          </cell>
          <cell r="C496" t="str">
            <v>501 หมู่ 5 (มุมสี่แยก ร.ร. อนุบาล)</v>
          </cell>
          <cell r="D496" t="str">
            <v>วังสามหมอ</v>
          </cell>
          <cell r="E496" t="str">
            <v>อุดรธานี</v>
          </cell>
          <cell r="F496" t="str">
            <v>042-387138</v>
          </cell>
          <cell r="G496" t="str">
            <v/>
          </cell>
        </row>
        <row r="497">
          <cell r="B497" t="str">
            <v>วัชระ</v>
          </cell>
          <cell r="C497" t="str">
            <v>19 ม.1 ต.สามแยก</v>
          </cell>
          <cell r="D497" t="str">
            <v>เลิงนกทา</v>
          </cell>
          <cell r="E497" t="str">
            <v>ยโสธร</v>
          </cell>
          <cell r="F497" t="str">
            <v>045-781524</v>
          </cell>
          <cell r="G497" t="str">
            <v/>
          </cell>
        </row>
        <row r="498">
          <cell r="B498" t="str">
            <v>วัฒนาจักรยาน</v>
          </cell>
          <cell r="C498" t="str">
            <v>1031 ตลาดศูนย์การค้า</v>
          </cell>
          <cell r="D498" t="str">
            <v>วัฒนานคร</v>
          </cell>
          <cell r="E498" t="str">
            <v>สระแก้ว</v>
          </cell>
          <cell r="F498" t="str">
            <v>037-261025</v>
          </cell>
          <cell r="G498" t="str">
            <v/>
          </cell>
        </row>
        <row r="499">
          <cell r="B499" t="str">
            <v>วันชัย</v>
          </cell>
          <cell r="C499" t="str">
            <v>576/1-2 ต. ท่าม่วง</v>
          </cell>
          <cell r="D499" t="str">
            <v>ท่าม่วง</v>
          </cell>
          <cell r="E499" t="str">
            <v>กาญจนบุรี</v>
          </cell>
          <cell r="F499" t="str">
            <v>034-611201</v>
          </cell>
          <cell r="G499" t="str">
            <v/>
          </cell>
        </row>
        <row r="500">
          <cell r="B500" t="str">
            <v>วารินซาวด์</v>
          </cell>
          <cell r="C500" t="str">
            <v>132 ม.2 ต.ส่องดาว</v>
          </cell>
          <cell r="D500" t="str">
            <v>ส่องดาว</v>
          </cell>
          <cell r="E500" t="str">
            <v>สกลนคร</v>
          </cell>
          <cell r="F500" t="str">
            <v>042-786167</v>
          </cell>
          <cell r="G500" t="str">
            <v>09-2758509</v>
          </cell>
        </row>
        <row r="501">
          <cell r="B501" t="str">
            <v>วาสนาจักรยาน</v>
          </cell>
          <cell r="C501" t="str">
            <v>24/3 ม. 5 ต.หล่มเก่า</v>
          </cell>
          <cell r="D501" t="str">
            <v>หล่มเก่า</v>
          </cell>
          <cell r="E501" t="str">
            <v>เพชรบูรณ์</v>
          </cell>
          <cell r="F501" t="str">
            <v>056-709862</v>
          </cell>
          <cell r="G501" t="str">
            <v/>
          </cell>
        </row>
        <row r="502">
          <cell r="B502" t="str">
            <v>วิเชียรการยนต์</v>
          </cell>
          <cell r="C502" t="str">
            <v>309/7-8 ม. 1 ต. แสนตุ้ง</v>
          </cell>
          <cell r="D502" t="str">
            <v>เขาสมิง</v>
          </cell>
          <cell r="E502" t="str">
            <v>ตราด</v>
          </cell>
          <cell r="F502" t="str">
            <v>039-546456</v>
          </cell>
          <cell r="G502" t="str">
            <v/>
          </cell>
        </row>
        <row r="503">
          <cell r="B503" t="str">
            <v>วิเชียรจักรยาน</v>
          </cell>
          <cell r="C503" t="str">
            <v>204/1024 การเคหะบางพลี ต.บางเสาธง</v>
          </cell>
          <cell r="D503" t="str">
            <v>เมือง</v>
          </cell>
          <cell r="E503" t="str">
            <v>สมุทรปราการ</v>
          </cell>
          <cell r="F503" t="str">
            <v>02-7051051</v>
          </cell>
          <cell r="G503" t="str">
            <v/>
          </cell>
        </row>
        <row r="504">
          <cell r="B504" t="str">
            <v>วิโรจน์จักรยาน</v>
          </cell>
          <cell r="C504" t="str">
            <v>173/1 ม.7 ต.ทุ่งสุขา</v>
          </cell>
          <cell r="D504" t="str">
            <v>อ.ศรีราชา</v>
          </cell>
          <cell r="E504" t="str">
            <v>ชลบุรี</v>
          </cell>
          <cell r="F504" t="str">
            <v>06-4133253</v>
          </cell>
          <cell r="G504" t="str">
            <v/>
          </cell>
        </row>
        <row r="505">
          <cell r="B505" t="str">
            <v>วิโรจน์วัฒนา</v>
          </cell>
          <cell r="C505" t="str">
            <v>9-1 ถ.นรินทร์รักษ์</v>
          </cell>
          <cell r="D505" t="str">
            <v>บางมูลนาค</v>
          </cell>
          <cell r="E505" t="str">
            <v>พิจิตร</v>
          </cell>
          <cell r="F505" t="str">
            <v>056-631176</v>
          </cell>
          <cell r="G505" t="str">
            <v/>
          </cell>
        </row>
        <row r="506">
          <cell r="B506" t="str">
            <v>วิชัยเฟอร์นิเจอร์</v>
          </cell>
          <cell r="C506" t="str">
            <v>102 ม.7 ต.เขื่องใน</v>
          </cell>
          <cell r="D506" t="str">
            <v>เขื่องใน</v>
          </cell>
          <cell r="E506" t="str">
            <v>อุบลราชธานี</v>
          </cell>
          <cell r="F506" t="str">
            <v>045-318131</v>
          </cell>
          <cell r="G506" t="str">
            <v/>
          </cell>
        </row>
        <row r="507">
          <cell r="B507" t="str">
            <v>วิทยายานยนต์(คุณวิทยา)</v>
          </cell>
          <cell r="C507" t="str">
            <v>40/6</v>
          </cell>
          <cell r="D507" t="str">
            <v>เวียงสระ</v>
          </cell>
          <cell r="E507" t="str">
            <v>สุราษฎร์ธานี</v>
          </cell>
          <cell r="F507" t="str">
            <v>081-0850837</v>
          </cell>
          <cell r="G507" t="str">
            <v/>
          </cell>
        </row>
        <row r="508">
          <cell r="B508" t="str">
            <v>วิบูลย์ภัณฑ์ (เจ้หงษ์)</v>
          </cell>
          <cell r="C508" t="str">
            <v>76 ม.6</v>
          </cell>
          <cell r="D508" t="str">
            <v>ลาดยาว</v>
          </cell>
          <cell r="E508" t="str">
            <v>นครสวรรค์</v>
          </cell>
          <cell r="F508" t="str">
            <v>086-8884564</v>
          </cell>
          <cell r="G508" t="str">
            <v/>
          </cell>
        </row>
        <row r="509">
          <cell r="B509" t="str">
            <v>วิวัฒน์จักรยาน</v>
          </cell>
          <cell r="C509" t="str">
            <v>33 ถ.เนินพยอม ต.มาบตาพุด</v>
          </cell>
          <cell r="D509" t="str">
            <v>เมือง</v>
          </cell>
          <cell r="E509" t="str">
            <v>ระยอง</v>
          </cell>
          <cell r="F509" t="str">
            <v>038-681455</v>
          </cell>
          <cell r="G509" t="str">
            <v/>
          </cell>
        </row>
        <row r="510">
          <cell r="B510" t="str">
            <v>วิวัฒน์จักรยาน</v>
          </cell>
          <cell r="C510" t="str">
            <v>109/47-48 หมู่ 7 ต.บางระกำ</v>
          </cell>
          <cell r="D510" t="str">
            <v>บางระกำ</v>
          </cell>
          <cell r="E510" t="str">
            <v>พิษณุโลก</v>
          </cell>
          <cell r="F510" t="str">
            <v>055-371209</v>
          </cell>
          <cell r="G510" t="str">
            <v/>
          </cell>
        </row>
        <row r="511">
          <cell r="B511" t="str">
            <v>วิสิฐ เงินมั่นคง</v>
          </cell>
          <cell r="C511" t="str">
            <v/>
          </cell>
          <cell r="D511" t="str">
            <v>จอมทอง</v>
          </cell>
          <cell r="E511" t="str">
            <v>กรุงเทพฯ</v>
          </cell>
          <cell r="F511" t="str">
            <v/>
          </cell>
          <cell r="G511" t="str">
            <v/>
          </cell>
        </row>
        <row r="512">
          <cell r="B512" t="str">
            <v>วีรยานยนต์ (ตี๋สุพรรณ)</v>
          </cell>
          <cell r="C512" t="str">
            <v>164/12 ถ.ขุนช้าง ท่าพี่เลี้ยง</v>
          </cell>
          <cell r="D512" t="str">
            <v>เมือง</v>
          </cell>
          <cell r="E512" t="str">
            <v>สุพรรณบุรี</v>
          </cell>
          <cell r="F512" t="str">
            <v>035-543868</v>
          </cell>
          <cell r="G512" t="str">
            <v/>
          </cell>
        </row>
        <row r="513">
          <cell r="B513" t="str">
            <v>วีรยุทธ กลีบจินดา</v>
          </cell>
          <cell r="C513" t="str">
            <v>920 ถ.นครสวรรค์ ตราด</v>
          </cell>
          <cell r="D513" t="str">
            <v>เมือง</v>
          </cell>
          <cell r="E513" t="str">
            <v>มหาสารคาม</v>
          </cell>
          <cell r="F513" t="str">
            <v/>
          </cell>
          <cell r="G513" t="str">
            <v/>
          </cell>
        </row>
        <row r="514">
          <cell r="B514" t="str">
            <v>วีรยุทธ ส่งต่อ โก้การค้า</v>
          </cell>
          <cell r="C514" t="str">
            <v/>
          </cell>
          <cell r="D514" t="str">
            <v>ด่านขุนทด</v>
          </cell>
          <cell r="E514" t="str">
            <v>นครราชสีมา</v>
          </cell>
          <cell r="F514" t="str">
            <v/>
          </cell>
          <cell r="G514" t="str">
            <v/>
          </cell>
        </row>
        <row r="515">
          <cell r="B515" t="str">
            <v>วีรยุทธ ส่งต่อ ร้าน พรทรัพย์</v>
          </cell>
          <cell r="C515" t="str">
            <v/>
          </cell>
          <cell r="D515" t="str">
            <v>วังสามหมอ</v>
          </cell>
          <cell r="E515" t="str">
            <v>อุดรธานี</v>
          </cell>
          <cell r="F515" t="str">
            <v/>
          </cell>
          <cell r="G515" t="str">
            <v/>
          </cell>
        </row>
        <row r="516">
          <cell r="B516" t="str">
            <v>วีรยุทธ ส่งต่อชัยณรงค์</v>
          </cell>
          <cell r="C516" t="str">
            <v/>
          </cell>
          <cell r="D516" t="str">
            <v>อ.สุวรรณภูมิ</v>
          </cell>
          <cell r="E516" t="str">
            <v>ร้อยเอ็ด</v>
          </cell>
          <cell r="F516" t="str">
            <v/>
          </cell>
          <cell r="G516" t="str">
            <v/>
          </cell>
        </row>
        <row r="517">
          <cell r="B517" t="str">
            <v>วีรยุทธ ส่งต่อร้านโก้การค้า</v>
          </cell>
          <cell r="C517" t="str">
            <v/>
          </cell>
          <cell r="D517" t="str">
            <v>อ.เกษตรวิสัย</v>
          </cell>
          <cell r="E517" t="str">
            <v>ร้อยเอ็ด</v>
          </cell>
          <cell r="F517" t="str">
            <v/>
          </cell>
          <cell r="G517" t="str">
            <v/>
          </cell>
        </row>
        <row r="518">
          <cell r="B518" t="str">
            <v>วีรยุทธ ส่งต่อร้านนิมิตร</v>
          </cell>
          <cell r="C518" t="str">
            <v/>
          </cell>
          <cell r="D518" t="str">
            <v>อ.ชุมพวง</v>
          </cell>
          <cell r="E518" t="str">
            <v>นครราชสีมา</v>
          </cell>
          <cell r="F518" t="str">
            <v/>
          </cell>
          <cell r="G518" t="str">
            <v/>
          </cell>
        </row>
        <row r="519">
          <cell r="B519" t="str">
            <v>วีรยุทธ ส่งต่อร้านผ่องศรี</v>
          </cell>
          <cell r="C519" t="str">
            <v/>
          </cell>
          <cell r="D519" t="str">
            <v>อ.ประทาย</v>
          </cell>
          <cell r="E519" t="str">
            <v>นครราชสีมา</v>
          </cell>
          <cell r="F519" t="str">
            <v/>
          </cell>
          <cell r="G519" t="str">
            <v/>
          </cell>
        </row>
        <row r="520">
          <cell r="B520" t="str">
            <v>วีรยุทธ ส่งต่อร้านยูเทิร์น</v>
          </cell>
          <cell r="C520" t="str">
            <v>ต.โคกกรวด</v>
          </cell>
          <cell r="D520" t="str">
            <v>อ.เมือง</v>
          </cell>
          <cell r="E520" t="str">
            <v>นครราชสีมา</v>
          </cell>
          <cell r="F520" t="str">
            <v/>
          </cell>
          <cell r="G520" t="str">
            <v/>
          </cell>
        </row>
        <row r="521">
          <cell r="B521" t="str">
            <v>วีรยุทธ ส่งต่อร้านอำนาจมอเตอร์</v>
          </cell>
          <cell r="C521" t="str">
            <v/>
          </cell>
          <cell r="D521" t="str">
            <v>อ.คง</v>
          </cell>
          <cell r="E521" t="str">
            <v>นครราชสีมา</v>
          </cell>
          <cell r="F521" t="str">
            <v/>
          </cell>
          <cell r="G521" t="str">
            <v/>
          </cell>
        </row>
        <row r="522">
          <cell r="B522" t="str">
            <v>วีระชัย</v>
          </cell>
          <cell r="C522" t="str">
            <v/>
          </cell>
          <cell r="D522" t="str">
            <v>อ.วังสะพุง</v>
          </cell>
          <cell r="E522" t="str">
            <v>เลย</v>
          </cell>
          <cell r="F522" t="str">
            <v>042-841683</v>
          </cell>
          <cell r="G522" t="str">
            <v/>
          </cell>
        </row>
        <row r="523">
          <cell r="B523" t="str">
            <v>วีระพานิช</v>
          </cell>
          <cell r="C523" t="str">
            <v>ถ.ชัยอาญา</v>
          </cell>
          <cell r="D523" t="str">
            <v>อ.อุทุมพรพิสั</v>
          </cell>
          <cell r="E523" t="str">
            <v>ศรีสะเกษ</v>
          </cell>
          <cell r="F523" t="str">
            <v>045-691299</v>
          </cell>
          <cell r="G523" t="str">
            <v/>
          </cell>
        </row>
        <row r="524">
          <cell r="B524" t="str">
            <v>วุฒิการช่าง</v>
          </cell>
          <cell r="C524" t="str">
            <v>81 ม.14 ต.เซกา</v>
          </cell>
          <cell r="D524" t="str">
            <v>เซกา</v>
          </cell>
          <cell r="E524" t="str">
            <v>หนองคาย</v>
          </cell>
          <cell r="F524" t="str">
            <v>042-849409</v>
          </cell>
          <cell r="G524" t="str">
            <v/>
          </cell>
        </row>
        <row r="525">
          <cell r="B525" t="str">
            <v>วุฒิชัยจักรยาน</v>
          </cell>
          <cell r="C525" t="str">
            <v>257-258 ม. 5 ต.หนองมะค่าโมง</v>
          </cell>
          <cell r="D525" t="str">
            <v>ด่านช้าง</v>
          </cell>
          <cell r="E525" t="str">
            <v>สุพรรณบุรี</v>
          </cell>
          <cell r="F525" t="str">
            <v>035-595051</v>
          </cell>
          <cell r="G525" t="str">
            <v/>
          </cell>
        </row>
        <row r="526">
          <cell r="B526" t="str">
            <v>ศรีเจริญ</v>
          </cell>
          <cell r="C526" t="str">
            <v>113 ถ.ศรีพานิช</v>
          </cell>
          <cell r="D526" t="str">
            <v>แม่สอด</v>
          </cell>
          <cell r="E526" t="str">
            <v>ตาก</v>
          </cell>
          <cell r="F526" t="str">
            <v>055-533108</v>
          </cell>
          <cell r="G526" t="str">
            <v>01-8861731</v>
          </cell>
        </row>
        <row r="527">
          <cell r="B527" t="str">
            <v>ศรีชัยจักรยาน</v>
          </cell>
          <cell r="C527" t="str">
            <v>85 ม.7 ต.พรเจริญ</v>
          </cell>
          <cell r="D527" t="str">
            <v>พรเจริญ</v>
          </cell>
          <cell r="E527" t="str">
            <v>หนองคาย</v>
          </cell>
          <cell r="F527" t="str">
            <v>042-487229</v>
          </cell>
          <cell r="G527" t="str">
            <v/>
          </cell>
        </row>
        <row r="528">
          <cell r="B528" t="str">
            <v>ศรีชัยพานิชย์</v>
          </cell>
          <cell r="C528" t="str">
            <v>31-31/2 ถ.เพลินจิต ต.ในเมือง</v>
          </cell>
          <cell r="D528" t="str">
            <v>เมือง</v>
          </cell>
          <cell r="E528" t="str">
            <v>ร้อยเอ็ด</v>
          </cell>
          <cell r="F528" t="str">
            <v>043-511626</v>
          </cell>
          <cell r="G528" t="str">
            <v>043-511085</v>
          </cell>
        </row>
        <row r="529">
          <cell r="B529" t="str">
            <v>ศรีทอง</v>
          </cell>
          <cell r="C529" t="str">
            <v>255 ม.8 ต.กุดชุม</v>
          </cell>
          <cell r="D529" t="str">
            <v>กุดชุม</v>
          </cell>
          <cell r="E529" t="str">
            <v>ยโสธร</v>
          </cell>
          <cell r="F529" t="str">
            <v>045-789260</v>
          </cell>
          <cell r="G529" t="str">
            <v/>
          </cell>
        </row>
        <row r="530">
          <cell r="B530" t="str">
            <v>ศรีบุญเรือง</v>
          </cell>
          <cell r="C530" t="str">
            <v>163/1 ม.7 ถ.สนิทนิคมรัฐ</v>
          </cell>
          <cell r="D530" t="str">
            <v>ท่าตูม</v>
          </cell>
          <cell r="E530" t="str">
            <v>สุรินทร์</v>
          </cell>
          <cell r="F530" t="str">
            <v>044-591034</v>
          </cell>
          <cell r="G530" t="str">
            <v/>
          </cell>
        </row>
        <row r="531">
          <cell r="B531" t="str">
            <v>ศรีบุญชูจักรยาน</v>
          </cell>
          <cell r="C531" t="str">
            <v>365 ถ.จอมพล ต. ในเมือง</v>
          </cell>
          <cell r="D531" t="str">
            <v>เมือง</v>
          </cell>
          <cell r="E531" t="str">
            <v>นครราชสีมา</v>
          </cell>
          <cell r="F531" t="str">
            <v>044-246943</v>
          </cell>
          <cell r="G531" t="str">
            <v/>
          </cell>
        </row>
        <row r="532">
          <cell r="B532" t="str">
            <v>ศรีผ่องมอเตอร์</v>
          </cell>
          <cell r="C532" t="str">
            <v>229-230 ต.ในเมือง</v>
          </cell>
          <cell r="D532" t="str">
            <v>พิมาย</v>
          </cell>
          <cell r="E532" t="str">
            <v>นครราชสีมา</v>
          </cell>
          <cell r="F532" t="str">
            <v>044-471192</v>
          </cell>
          <cell r="G532" t="str">
            <v/>
          </cell>
        </row>
        <row r="533">
          <cell r="B533" t="str">
            <v>ศรีรุ่งเรือง</v>
          </cell>
          <cell r="C533" t="str">
            <v>102-103 ถ.นิกรกิจ ต.ประโคนชัย</v>
          </cell>
          <cell r="D533" t="str">
            <v>ประโคนชัย</v>
          </cell>
          <cell r="E533" t="str">
            <v>บุรีรัมย์</v>
          </cell>
          <cell r="F533" t="str">
            <v>044-671132</v>
          </cell>
          <cell r="G533" t="str">
            <v/>
          </cell>
        </row>
        <row r="534">
          <cell r="B534" t="str">
            <v>ศรีสะเกษจักรยาน</v>
          </cell>
          <cell r="C534" t="str">
            <v>975/1 -4 ถ. ขุขันธ์ ต.เมืองใต้</v>
          </cell>
          <cell r="D534" t="str">
            <v>เมือง</v>
          </cell>
          <cell r="E534" t="str">
            <v>ศรีสะเกษ</v>
          </cell>
          <cell r="F534" t="str">
            <v>045-613648</v>
          </cell>
          <cell r="G534" t="str">
            <v/>
          </cell>
        </row>
        <row r="535">
          <cell r="B535" t="str">
            <v>ศรีสุขมอเตอร์ไซค์</v>
          </cell>
          <cell r="C535" t="str">
            <v>80/9-10 ซ.ไทยธานี 37 ต.คลองหนึ่ง</v>
          </cell>
          <cell r="D535" t="str">
            <v>คลองหลวง</v>
          </cell>
          <cell r="E535" t="str">
            <v>ปทุมธานี</v>
          </cell>
          <cell r="F535" t="str">
            <v>5294719</v>
          </cell>
          <cell r="G535" t="str">
            <v/>
          </cell>
        </row>
        <row r="536">
          <cell r="B536" t="str">
            <v>ศักดิ์ศรีจักรยาน</v>
          </cell>
          <cell r="C536" t="str">
            <v>210 หมู่ 21 ตลาดคำปิ้ง ต.บ้านเพ็ชร</v>
          </cell>
          <cell r="D536" t="str">
            <v>บำเหน็จณรงค์</v>
          </cell>
          <cell r="E536" t="str">
            <v>ชัยภูมิ</v>
          </cell>
          <cell r="F536" t="str">
            <v>044-842850</v>
          </cell>
          <cell r="G536" t="str">
            <v>09-8645057</v>
          </cell>
        </row>
        <row r="537">
          <cell r="B537" t="str">
            <v>ศิริยานยนต์</v>
          </cell>
          <cell r="C537" t="str">
            <v>571 ถนนสิโรรส</v>
          </cell>
          <cell r="D537" t="str">
            <v>เมือง</v>
          </cell>
          <cell r="E537" t="str">
            <v>ยะลา</v>
          </cell>
          <cell r="F537" t="str">
            <v>073-221081</v>
          </cell>
          <cell r="G537" t="str">
            <v>01-4780472</v>
          </cell>
        </row>
        <row r="538">
          <cell r="B538" t="str">
            <v>ศิลป์ชัยจักรยาน</v>
          </cell>
          <cell r="C538" t="str">
            <v>158 ถ.เจริญสุข</v>
          </cell>
          <cell r="D538" t="str">
            <v>เมือง</v>
          </cell>
          <cell r="E538" t="str">
            <v>กำแพงเพชร</v>
          </cell>
          <cell r="F538" t="str">
            <v>055-712498</v>
          </cell>
          <cell r="G538" t="str">
            <v/>
          </cell>
        </row>
        <row r="539">
          <cell r="B539" t="str">
            <v>ศูนย์รวมจักรยาน</v>
          </cell>
          <cell r="C539" t="str">
            <v>225/1-2 ม.1 ถ.ราษฎร์บำรุง</v>
          </cell>
          <cell r="D539" t="str">
            <v>น้ำพอง</v>
          </cell>
          <cell r="E539" t="str">
            <v>ขอนแก่น</v>
          </cell>
          <cell r="F539" t="str">
            <v>043-431217</v>
          </cell>
          <cell r="G539" t="str">
            <v/>
          </cell>
        </row>
        <row r="540">
          <cell r="B540" t="str">
            <v>ส. ไทยยนต์</v>
          </cell>
          <cell r="C540" t="str">
            <v>360/1 ถ.นิตโย</v>
          </cell>
          <cell r="D540" t="str">
            <v>พังโคน</v>
          </cell>
          <cell r="E540" t="str">
            <v>สกลนคร</v>
          </cell>
          <cell r="F540" t="str">
            <v>042-771010</v>
          </cell>
          <cell r="G540" t="str">
            <v/>
          </cell>
        </row>
        <row r="541">
          <cell r="B541" t="str">
            <v>ส.เจริญยนต์</v>
          </cell>
          <cell r="C541" t="str">
            <v>8/4 ม.3 ต.ช่องเม็ก</v>
          </cell>
          <cell r="D541" t="str">
            <v>สิรินธร</v>
          </cell>
          <cell r="E541" t="str">
            <v>อุบลราชธานี</v>
          </cell>
          <cell r="F541" t="str">
            <v>045-485171</v>
          </cell>
          <cell r="G541" t="str">
            <v/>
          </cell>
        </row>
        <row r="542">
          <cell r="B542" t="str">
            <v>ส.จักรยาน</v>
          </cell>
          <cell r="C542" t="str">
            <v>ถ. เชียงใหม่-ลำพูน ซอย 8 ต. วัดเกตุ</v>
          </cell>
          <cell r="D542" t="str">
            <v>เมือง</v>
          </cell>
          <cell r="E542" t="str">
            <v>เชียงใหม่</v>
          </cell>
          <cell r="F542" t="str">
            <v>053-278243</v>
          </cell>
          <cell r="G542" t="str">
            <v>01-3666580</v>
          </cell>
        </row>
        <row r="543">
          <cell r="B543" t="str">
            <v>ส.จักรยาน</v>
          </cell>
          <cell r="C543" t="str">
            <v>114 หมู่ 5 ต.ป่าแดง</v>
          </cell>
          <cell r="D543" t="str">
            <v>ชาติตระการ</v>
          </cell>
          <cell r="E543" t="str">
            <v>พิษณุโลก</v>
          </cell>
          <cell r="F543" t="str">
            <v>055-381306</v>
          </cell>
          <cell r="G543" t="str">
            <v>086-9299591</v>
          </cell>
        </row>
        <row r="544">
          <cell r="B544" t="str">
            <v>ส.ชายจักรยาน</v>
          </cell>
          <cell r="C544" t="str">
            <v>150/10 ม. 5 ถ.สายพยูน ต.บ้านฉาง</v>
          </cell>
          <cell r="D544" t="str">
            <v>บ้านฉาง</v>
          </cell>
          <cell r="E544" t="str">
            <v>ระยอง</v>
          </cell>
          <cell r="F544" t="str">
            <v>038-601046</v>
          </cell>
          <cell r="G544" t="str">
            <v>038-605526</v>
          </cell>
        </row>
        <row r="545">
          <cell r="B545" t="str">
            <v>ส.พูนทรัพย์</v>
          </cell>
          <cell r="C545" t="str">
            <v>371 ถ.สุขาภิบาล 1 ต.หนองบัวแดง</v>
          </cell>
          <cell r="D545" t="str">
            <v>หนองบัวแดง</v>
          </cell>
          <cell r="E545" t="str">
            <v>ชัยภูมิ</v>
          </cell>
          <cell r="F545" t="str">
            <v>044-872267</v>
          </cell>
          <cell r="G545" t="str">
            <v/>
          </cell>
        </row>
        <row r="546">
          <cell r="B546" t="str">
            <v>ส.รุ่งเจริญ</v>
          </cell>
          <cell r="C546" t="str">
            <v>554 ม.5 ต.โพนสวรรค์</v>
          </cell>
          <cell r="D546" t="str">
            <v>โพนสวรรค์</v>
          </cell>
          <cell r="E546" t="str">
            <v>นครพนม</v>
          </cell>
          <cell r="F546" t="str">
            <v>042-595055</v>
          </cell>
          <cell r="G546" t="str">
            <v>07-2185233</v>
          </cell>
        </row>
        <row r="547">
          <cell r="B547" t="str">
            <v>ส.สหายยนต์</v>
          </cell>
          <cell r="C547" t="str">
            <v>14/3-5 ถ.ราษฎร์อนุสรณ์ ต.บางพระ</v>
          </cell>
          <cell r="D547" t="str">
            <v>เมือง</v>
          </cell>
          <cell r="E547" t="str">
            <v>ตราด</v>
          </cell>
          <cell r="F547" t="str">
            <v>039-521299</v>
          </cell>
          <cell r="G547" t="str">
            <v/>
          </cell>
        </row>
        <row r="548">
          <cell r="B548" t="str">
            <v>ส.อุปกรณ์</v>
          </cell>
          <cell r="C548" t="str">
            <v/>
          </cell>
          <cell r="D548" t="str">
            <v>แก้งค้อ</v>
          </cell>
          <cell r="E548" t="str">
            <v>ชัยภูมิ</v>
          </cell>
          <cell r="F548" t="str">
            <v>044-882803</v>
          </cell>
          <cell r="G548" t="str">
            <v/>
          </cell>
        </row>
        <row r="549">
          <cell r="B549" t="str">
            <v>สง่ายานยนต์</v>
          </cell>
          <cell r="C549" t="str">
            <v>276 ตลาดบ้านไร่</v>
          </cell>
          <cell r="D549" t="str">
            <v>บ้านไร่</v>
          </cell>
          <cell r="E549" t="str">
            <v>อุทัยธานี</v>
          </cell>
          <cell r="F549" t="str">
            <v>056-539061</v>
          </cell>
          <cell r="G549" t="str">
            <v/>
          </cell>
        </row>
        <row r="550">
          <cell r="B550" t="str">
            <v>สนมการช่าง</v>
          </cell>
          <cell r="C550" t="str">
            <v>196 ม.4 ต.วานรนิวาส</v>
          </cell>
          <cell r="D550" t="str">
            <v>วานรนิวาส</v>
          </cell>
          <cell r="E550" t="str">
            <v>สกลนคร</v>
          </cell>
          <cell r="F550" t="str">
            <v>042-791187</v>
          </cell>
          <cell r="G550" t="str">
            <v>042-791377,</v>
          </cell>
        </row>
        <row r="551">
          <cell r="B551" t="str">
            <v>สปอร์ทไบด์</v>
          </cell>
          <cell r="C551" t="str">
            <v>2/8-9 ถ.อิสาน ต.ในเมือง</v>
          </cell>
          <cell r="D551" t="str">
            <v>เมือง</v>
          </cell>
          <cell r="E551" t="str">
            <v>บุรีรัมย์</v>
          </cell>
          <cell r="F551" t="str">
            <v>044-602328</v>
          </cell>
          <cell r="G551" t="str">
            <v>05-8592288</v>
          </cell>
        </row>
        <row r="552">
          <cell r="B552" t="str">
            <v>สมบัติการช่าง</v>
          </cell>
          <cell r="C552" t="str">
            <v>14 ม. 10 ต. เซกา</v>
          </cell>
          <cell r="D552" t="str">
            <v>เซกา</v>
          </cell>
          <cell r="E552" t="str">
            <v>หนองคาย</v>
          </cell>
          <cell r="F552" t="str">
            <v>042-489176</v>
          </cell>
          <cell r="G552" t="str">
            <v>09-8408629</v>
          </cell>
        </row>
        <row r="553">
          <cell r="B553" t="str">
            <v>สมบูรณ์</v>
          </cell>
          <cell r="C553" t="str">
            <v>96 ต.โพธิ์ทอง</v>
          </cell>
          <cell r="D553" t="str">
            <v>อ.ปางศิลาทอง</v>
          </cell>
          <cell r="E553" t="str">
            <v>กำแพงเพชร</v>
          </cell>
          <cell r="F553" t="str">
            <v>055-727183</v>
          </cell>
          <cell r="G553" t="str">
            <v/>
          </cell>
        </row>
        <row r="554">
          <cell r="B554" t="str">
            <v>สมบูรณ์ทรัพย์</v>
          </cell>
          <cell r="C554" t="str">
            <v>61/1 ม.1 ต.อิปัน</v>
          </cell>
          <cell r="D554" t="str">
            <v>พระแสง</v>
          </cell>
          <cell r="E554" t="str">
            <v>สุราษฎร์ธานี</v>
          </cell>
          <cell r="F554" t="str">
            <v>077-369107</v>
          </cell>
          <cell r="G554" t="str">
            <v/>
          </cell>
        </row>
        <row r="555">
          <cell r="B555" t="str">
            <v>สมประสงค์</v>
          </cell>
          <cell r="C555" t="str">
            <v>244/5 วังน้ำเย็น</v>
          </cell>
          <cell r="D555" t="str">
            <v>วังน้ำเย็น</v>
          </cell>
          <cell r="E555" t="str">
            <v>สระแก้ว</v>
          </cell>
          <cell r="F555" t="str">
            <v>037-251595</v>
          </cell>
          <cell r="G555" t="str">
            <v/>
          </cell>
        </row>
        <row r="556">
          <cell r="B556" t="str">
            <v>สมประสงค์การค้า</v>
          </cell>
          <cell r="C556" t="str">
            <v>218 ม.1 ต.สามแยก</v>
          </cell>
          <cell r="D556" t="str">
            <v>เลิงนกทา</v>
          </cell>
          <cell r="E556" t="str">
            <v>ยโสธร</v>
          </cell>
          <cell r="F556" t="str">
            <v>087-2592495</v>
          </cell>
          <cell r="G556" t="str">
            <v/>
          </cell>
        </row>
        <row r="557">
          <cell r="B557" t="str">
            <v>สมประสงค์การค้า</v>
          </cell>
          <cell r="C557" t="str">
            <v>218 ม.1 ต.สามแยก</v>
          </cell>
          <cell r="D557" t="str">
            <v>เลิงนกทา</v>
          </cell>
          <cell r="E557" t="str">
            <v>ยโสธร</v>
          </cell>
          <cell r="F557" t="str">
            <v>087-2592495</v>
          </cell>
          <cell r="G557" t="str">
            <v/>
          </cell>
        </row>
        <row r="558">
          <cell r="B558" t="str">
            <v>สมพงษ์</v>
          </cell>
          <cell r="C558" t="str">
            <v>574/1</v>
          </cell>
          <cell r="D558" t="str">
            <v>เกษตรวิสัย</v>
          </cell>
          <cell r="E558" t="str">
            <v>ร้อยเอ็ด</v>
          </cell>
          <cell r="F558" t="str">
            <v>043-589418</v>
          </cell>
          <cell r="G558" t="str">
            <v/>
          </cell>
        </row>
        <row r="559">
          <cell r="B559" t="str">
            <v>สมพงษ์การค้า</v>
          </cell>
          <cell r="C559" t="str">
            <v>643/105 ถ.นายแท่น</v>
          </cell>
          <cell r="D559" t="str">
            <v>เมือง</v>
          </cell>
          <cell r="E559" t="str">
            <v>สิงห์บุรี</v>
          </cell>
          <cell r="F559" t="str">
            <v>036-511241</v>
          </cell>
          <cell r="G559" t="str">
            <v/>
          </cell>
        </row>
        <row r="560">
          <cell r="B560" t="str">
            <v>สมพร</v>
          </cell>
          <cell r="C560" t="str">
            <v>472 ม.7 ถ.ลำปาง-แม่ทะ พระบาท</v>
          </cell>
          <cell r="D560" t="str">
            <v>เมือง</v>
          </cell>
          <cell r="E560" t="str">
            <v>ลำปาง</v>
          </cell>
          <cell r="F560" t="str">
            <v>054-316480</v>
          </cell>
          <cell r="G560" t="str">
            <v/>
          </cell>
        </row>
        <row r="561">
          <cell r="B561" t="str">
            <v>สมรักษ์ (สหมิตรจักรยาน)</v>
          </cell>
          <cell r="C561" t="str">
            <v>เยื้องที่ทำการไปรษณีย์</v>
          </cell>
          <cell r="D561" t="str">
            <v>บ้านไผ่</v>
          </cell>
          <cell r="E561" t="str">
            <v>ขอนแก่น</v>
          </cell>
          <cell r="F561" t="str">
            <v>043-272204</v>
          </cell>
          <cell r="G561" t="str">
            <v>06-8812466</v>
          </cell>
        </row>
        <row r="562">
          <cell r="B562" t="str">
            <v>สมศักดิ์การช่าง</v>
          </cell>
          <cell r="C562" t="str">
            <v>258/19 ถ.เทพกษัตรีย์</v>
          </cell>
          <cell r="D562" t="str">
            <v>ถลาง</v>
          </cell>
          <cell r="E562" t="str">
            <v>ภูเก็ต</v>
          </cell>
          <cell r="F562" t="str">
            <v>089-6471581</v>
          </cell>
          <cell r="G562" t="str">
            <v/>
          </cell>
        </row>
        <row r="563">
          <cell r="B563" t="str">
            <v>สมศักดิ์จักรยาน</v>
          </cell>
          <cell r="C563" t="str">
            <v>221 ข้างตลาดสด ถ.ราษฎร์อุทิศ</v>
          </cell>
          <cell r="D563" t="str">
            <v>ธาตุพนม</v>
          </cell>
          <cell r="E563" t="str">
            <v>นครพนม</v>
          </cell>
          <cell r="F563" t="str">
            <v>042-312060</v>
          </cell>
          <cell r="G563" t="str">
            <v>042- 541705</v>
          </cell>
        </row>
        <row r="564">
          <cell r="B564" t="str">
            <v>สมศักดิ์วิทยุ</v>
          </cell>
          <cell r="C564" t="str">
            <v>198-199 ถ.เสรีธิปัตย์ ต.ระแงง</v>
          </cell>
          <cell r="D564" t="str">
            <v>ศรีขรภูมิ</v>
          </cell>
          <cell r="E564" t="str">
            <v>สุรินทร์</v>
          </cell>
          <cell r="F564" t="str">
            <v>044-561043</v>
          </cell>
          <cell r="G564" t="str">
            <v/>
          </cell>
        </row>
        <row r="565">
          <cell r="B565" t="str">
            <v>สมหมายเดช</v>
          </cell>
          <cell r="C565" t="str">
            <v>339/2 ม.5 เมืองเดช</v>
          </cell>
          <cell r="D565" t="str">
            <v>เดชอุดม</v>
          </cell>
          <cell r="E565" t="str">
            <v>อุบลราชธานี</v>
          </cell>
          <cell r="F565" t="str">
            <v>045-282065</v>
          </cell>
          <cell r="G565" t="str">
            <v/>
          </cell>
        </row>
        <row r="566">
          <cell r="B566" t="str">
            <v>สมหวังจักรยาน</v>
          </cell>
          <cell r="C566" t="str">
            <v>100 ม.3 ต.โซ่พิสัย</v>
          </cell>
          <cell r="D566" t="str">
            <v>โซ่พิสัย</v>
          </cell>
          <cell r="E566" t="str">
            <v>หนองคาย</v>
          </cell>
          <cell r="F566" t="str">
            <v>042-485287</v>
          </cell>
          <cell r="G566" t="str">
            <v/>
          </cell>
        </row>
        <row r="567">
          <cell r="B567" t="str">
            <v>สมอทอง</v>
          </cell>
          <cell r="C567" t="str">
            <v>300/39-40 ถ.เทพประสิทธิ์ ต.หนองปรือ</v>
          </cell>
          <cell r="D567" t="str">
            <v>บางละมุง</v>
          </cell>
          <cell r="E567" t="str">
            <v>ชลบุรี</v>
          </cell>
          <cell r="F567" t="str">
            <v>038-300547</v>
          </cell>
          <cell r="G567" t="str">
            <v/>
          </cell>
        </row>
        <row r="568">
          <cell r="B568" t="str">
            <v>สมานมิตรจักรยาน</v>
          </cell>
          <cell r="C568" t="str">
            <v>123 ม. 8 ต.กลาง</v>
          </cell>
          <cell r="D568" t="str">
            <v>เสลภูมิ</v>
          </cell>
          <cell r="E568" t="str">
            <v>ร้อยเอ็ด</v>
          </cell>
          <cell r="F568" t="str">
            <v>043-551436</v>
          </cell>
          <cell r="G568" t="str">
            <v>06-9843148</v>
          </cell>
        </row>
        <row r="569">
          <cell r="B569" t="str">
            <v>สยามเรงน่อง</v>
          </cell>
          <cell r="C569" t="str">
            <v>59/219 ซ.8 เฟส1 ถ.สุวินทวงศ์</v>
          </cell>
          <cell r="D569" t="str">
            <v>หนองจอก</v>
          </cell>
          <cell r="E569" t="str">
            <v>กทม.</v>
          </cell>
          <cell r="F569" t="str">
            <v>02-9563939</v>
          </cell>
          <cell r="G569" t="str">
            <v/>
          </cell>
        </row>
        <row r="570">
          <cell r="B570" t="str">
            <v>สยามจักรยาน</v>
          </cell>
          <cell r="C570" t="str">
            <v/>
          </cell>
          <cell r="D570" t="str">
            <v>เมือง</v>
          </cell>
          <cell r="E570" t="str">
            <v>ศรีสะเกษ</v>
          </cell>
          <cell r="F570" t="str">
            <v>045-612910</v>
          </cell>
          <cell r="G570" t="str">
            <v/>
          </cell>
        </row>
        <row r="571">
          <cell r="B571" t="str">
            <v>สยามนานาภัณฑ์</v>
          </cell>
          <cell r="C571" t="str">
            <v>24/3 ถ.เรืองราษฎร์</v>
          </cell>
          <cell r="D571" t="str">
            <v>เมือง</v>
          </cell>
          <cell r="E571" t="str">
            <v>ระนอง</v>
          </cell>
          <cell r="F571" t="str">
            <v>077-822659</v>
          </cell>
          <cell r="G571" t="str">
            <v/>
          </cell>
        </row>
        <row r="572">
          <cell r="B572" t="str">
            <v>สวยเสมอ</v>
          </cell>
          <cell r="C572" t="str">
            <v>817/4-5 ถ.ราษฎร์บรรจบ ต.มหาชัย</v>
          </cell>
          <cell r="D572" t="str">
            <v>เมือง</v>
          </cell>
          <cell r="E572" t="str">
            <v>สมุทรสาคร</v>
          </cell>
          <cell r="F572" t="str">
            <v>034-411264,</v>
          </cell>
          <cell r="G572" t="str">
            <v>034-411373</v>
          </cell>
        </row>
        <row r="573">
          <cell r="B573" t="str">
            <v>สว่างจักรยาน</v>
          </cell>
          <cell r="C573" t="str">
            <v>49/16 ถ.ช้างเผือก ต.ศรีภูมิ</v>
          </cell>
          <cell r="D573" t="str">
            <v>เมือง</v>
          </cell>
          <cell r="E573" t="str">
            <v>เชียงใหม่</v>
          </cell>
          <cell r="F573" t="str">
            <v>053-215003</v>
          </cell>
          <cell r="G573" t="str">
            <v/>
          </cell>
        </row>
        <row r="574">
          <cell r="B574" t="str">
            <v>สว่างพงษ์</v>
          </cell>
          <cell r="C574" t="str">
            <v>347/1 ต.จุมพล</v>
          </cell>
          <cell r="D574" t="str">
            <v>โพนพิสัย</v>
          </cell>
          <cell r="E574" t="str">
            <v>หนองคาย</v>
          </cell>
          <cell r="F574" t="str">
            <v>042-471379</v>
          </cell>
          <cell r="G574" t="str">
            <v/>
          </cell>
        </row>
        <row r="575">
          <cell r="B575" t="str">
            <v>สหกิจจักรยาน</v>
          </cell>
          <cell r="C575" t="str">
            <v>51/40 ถ.ติวานนท์</v>
          </cell>
          <cell r="D575" t="str">
            <v>เมือง</v>
          </cell>
          <cell r="E575" t="str">
            <v>นนทบุรี</v>
          </cell>
          <cell r="F575" t="str">
            <v>02-5803417</v>
          </cell>
          <cell r="G575" t="str">
            <v>02-5883761</v>
          </cell>
        </row>
        <row r="576">
          <cell r="B576" t="str">
            <v>สหจักรยาน</v>
          </cell>
          <cell r="C576" t="str">
            <v>1-9 ถ.ราษฎรอุทิศ</v>
          </cell>
          <cell r="D576" t="str">
            <v>เมือง</v>
          </cell>
          <cell r="E576" t="str">
            <v>ร้อยเอ็ด</v>
          </cell>
          <cell r="F576" t="str">
            <v>043-511490</v>
          </cell>
          <cell r="G576" t="str">
            <v/>
          </cell>
        </row>
        <row r="577">
          <cell r="B577" t="str">
            <v>สหจักรยาน</v>
          </cell>
          <cell r="C577" t="str">
            <v>ต.กุขันธ์</v>
          </cell>
          <cell r="D577" t="str">
            <v>เมือง</v>
          </cell>
          <cell r="E577" t="str">
            <v>ศรีสะเกษ</v>
          </cell>
          <cell r="F577" t="str">
            <v>045-611653</v>
          </cell>
          <cell r="G577" t="str">
            <v/>
          </cell>
        </row>
        <row r="578">
          <cell r="B578" t="str">
            <v>สหจักรยาน</v>
          </cell>
          <cell r="C578" t="str">
            <v>1741/26 ถ.ยุวัฒนา</v>
          </cell>
          <cell r="D578" t="str">
            <v>เมือง</v>
          </cell>
          <cell r="E578" t="str">
            <v>สกลนคร</v>
          </cell>
          <cell r="F578" t="str">
            <v>042-712307</v>
          </cell>
          <cell r="G578" t="str">
            <v/>
          </cell>
        </row>
        <row r="579">
          <cell r="B579" t="str">
            <v>สหจักรยาน</v>
          </cell>
          <cell r="C579" t="str">
            <v>2-4 ซ. ศูนย์การค้าสาย 2 ถ.สุขุมวิท</v>
          </cell>
          <cell r="D579" t="str">
            <v>เมือง</v>
          </cell>
          <cell r="E579" t="str">
            <v>ระยอง</v>
          </cell>
          <cell r="F579" t="str">
            <v>038-611394,</v>
          </cell>
          <cell r="G579" t="str">
            <v>01-8647922</v>
          </cell>
        </row>
        <row r="580">
          <cell r="B580" t="str">
            <v>สองพี่น้องพาณิชย์</v>
          </cell>
          <cell r="C580" t="str">
            <v>202/1 ม.1 ต.นาปาน</v>
          </cell>
          <cell r="D580" t="str">
            <v>ท่าคันโท</v>
          </cell>
          <cell r="E580" t="str">
            <v>กาฬสินธุ์</v>
          </cell>
          <cell r="F580" t="str">
            <v>01-0516402</v>
          </cell>
          <cell r="G580" t="str">
            <v>01-2807943</v>
          </cell>
        </row>
        <row r="581">
          <cell r="B581" t="str">
            <v>สันติจักรยาน</v>
          </cell>
          <cell r="C581" t="str">
            <v>26 ม.5 ต.วังสามหมอ</v>
          </cell>
          <cell r="D581" t="str">
            <v>วังสามหมอ</v>
          </cell>
          <cell r="E581" t="str">
            <v>อุดรธานี</v>
          </cell>
          <cell r="F581" t="str">
            <v>042-387016</v>
          </cell>
          <cell r="G581" t="str">
            <v/>
          </cell>
        </row>
        <row r="582">
          <cell r="B582" t="str">
            <v>สันติชา โพธิ์ทอง</v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</row>
        <row r="583">
          <cell r="B583" t="str">
            <v>สันติพงษ์วัสดุ</v>
          </cell>
          <cell r="C583" t="str">
            <v>299 ม.2 ต.โขงเจียม</v>
          </cell>
          <cell r="D583" t="str">
            <v>โขงเจียม</v>
          </cell>
          <cell r="E583" t="str">
            <v>อุบลราชธานี</v>
          </cell>
          <cell r="F583" t="str">
            <v/>
          </cell>
          <cell r="G583" t="str">
            <v/>
          </cell>
        </row>
        <row r="584">
          <cell r="B584" t="str">
            <v>สัมฤทธิ์กลการช่าง</v>
          </cell>
          <cell r="C584" t="str">
            <v>147 ต.ในเมือง</v>
          </cell>
          <cell r="D584" t="str">
            <v>พิชัย</v>
          </cell>
          <cell r="E584" t="str">
            <v>อุตรดิตถ์</v>
          </cell>
          <cell r="F584" t="str">
            <v>055-421313</v>
          </cell>
          <cell r="G584" t="str">
            <v/>
          </cell>
        </row>
        <row r="585">
          <cell r="B585" t="str">
            <v>สากลพาณิชย์</v>
          </cell>
          <cell r="C585" t="str">
            <v>177 ถ.เรืองราษฎร์</v>
          </cell>
          <cell r="D585" t="str">
            <v>เมือง</v>
          </cell>
          <cell r="E585" t="str">
            <v>ระนอง</v>
          </cell>
          <cell r="F585" t="str">
            <v>077-822907</v>
          </cell>
          <cell r="G585" t="str">
            <v>077-822908,</v>
          </cell>
        </row>
        <row r="586">
          <cell r="B586" t="str">
            <v>สาครจักรยาน</v>
          </cell>
          <cell r="C586" t="str">
            <v>1272/16-17 ปากซอยสุคนธวิท 5 ต.ตลาด</v>
          </cell>
          <cell r="D586" t="str">
            <v>กระทุ่มแบน</v>
          </cell>
          <cell r="E586" t="str">
            <v>สมุทรสาคร</v>
          </cell>
          <cell r="F586" t="str">
            <v>034-843940,</v>
          </cell>
          <cell r="G586" t="str">
            <v>01-8057219</v>
          </cell>
        </row>
        <row r="587">
          <cell r="B587" t="str">
            <v>สามชัยจักรยาน</v>
          </cell>
          <cell r="C587" t="str">
            <v>17-19 ศึกษาเจริญ</v>
          </cell>
          <cell r="D587" t="str">
            <v>เมือง</v>
          </cell>
          <cell r="E587" t="str">
            <v>เพชรบูรณ์</v>
          </cell>
          <cell r="F587" t="str">
            <v>056-711515</v>
          </cell>
          <cell r="G587" t="str">
            <v/>
          </cell>
        </row>
        <row r="588">
          <cell r="B588" t="str">
            <v>สามชุกจักรยาน</v>
          </cell>
          <cell r="C588" t="str">
            <v>176 ม.2 ตลาดสามชุก</v>
          </cell>
          <cell r="D588" t="str">
            <v>สามชุก</v>
          </cell>
          <cell r="E588" t="str">
            <v>สุพรรณบุรี</v>
          </cell>
          <cell r="F588" t="str">
            <v>034-504660</v>
          </cell>
          <cell r="G588" t="str">
            <v/>
          </cell>
        </row>
        <row r="589">
          <cell r="B589" t="str">
            <v>สายธารี</v>
          </cell>
          <cell r="C589" t="str">
            <v>145 ม.5 ต.เจดีย์หลวง</v>
          </cell>
          <cell r="D589" t="str">
            <v>แม่สรวย</v>
          </cell>
          <cell r="E589" t="str">
            <v>เชียงราย</v>
          </cell>
          <cell r="F589" t="str">
            <v>053-950758</v>
          </cell>
          <cell r="G589" t="str">
            <v/>
          </cell>
        </row>
        <row r="590">
          <cell r="B590" t="str">
            <v>สายฟ้าจักรยาน</v>
          </cell>
          <cell r="C590" t="str">
            <v>116 ม.6</v>
          </cell>
          <cell r="D590" t="str">
            <v>ลาดยาว</v>
          </cell>
          <cell r="E590" t="str">
            <v>นครสวรรค์</v>
          </cell>
          <cell r="F590" t="str">
            <v>056-271051</v>
          </cell>
          <cell r="G590" t="str">
            <v/>
          </cell>
        </row>
        <row r="591">
          <cell r="B591" t="str">
            <v>สารคามอะไหล่</v>
          </cell>
          <cell r="C591" t="str">
            <v>90 ถ. วรบุตร</v>
          </cell>
          <cell r="D591" t="str">
            <v>เมือง</v>
          </cell>
          <cell r="E591" t="str">
            <v>มหาสารคาม</v>
          </cell>
          <cell r="F591" t="str">
            <v>043-711024</v>
          </cell>
          <cell r="G591" t="str">
            <v/>
          </cell>
        </row>
        <row r="592">
          <cell r="B592" t="str">
            <v>สำราญเฟอร์นิเจอร์</v>
          </cell>
          <cell r="C592" t="str">
            <v>210/3 ตลาดกะเปอร์</v>
          </cell>
          <cell r="D592" t="str">
            <v>กะเปอร์</v>
          </cell>
          <cell r="E592" t="str">
            <v>ระนอง</v>
          </cell>
          <cell r="F592" t="str">
            <v>077-897062</v>
          </cell>
          <cell r="G592" t="str">
            <v/>
          </cell>
        </row>
        <row r="593">
          <cell r="B593" t="str">
            <v>สิงห์โตทอง</v>
          </cell>
          <cell r="C593" t="str">
            <v>79/24 ถ.ประชาราษฎร์</v>
          </cell>
          <cell r="D593" t="str">
            <v>เมือง</v>
          </cell>
          <cell r="E593" t="str">
            <v>นนทบุรี</v>
          </cell>
          <cell r="F593" t="str">
            <v>02-5261026</v>
          </cell>
          <cell r="G593" t="str">
            <v/>
          </cell>
        </row>
        <row r="594">
          <cell r="B594" t="str">
            <v>สิทธิพันธ์</v>
          </cell>
          <cell r="C594" t="str">
            <v>359 ม. 8 ต.เขาพระ</v>
          </cell>
          <cell r="D594" t="str">
            <v>เดิมบางนางบวช</v>
          </cell>
          <cell r="E594" t="str">
            <v>สุพรรณบุรี</v>
          </cell>
          <cell r="F594" t="str">
            <v>035-578293</v>
          </cell>
          <cell r="G594" t="str">
            <v/>
          </cell>
        </row>
        <row r="595">
          <cell r="B595" t="str">
            <v>สินทวีปราสาท</v>
          </cell>
          <cell r="C595" t="str">
            <v>710/32-33 ม.2 ต. กังแอน</v>
          </cell>
          <cell r="D595" t="str">
            <v>ปราสาท</v>
          </cell>
          <cell r="E595" t="str">
            <v>สุรินทร์</v>
          </cell>
          <cell r="F595" t="str">
            <v>044-551024</v>
          </cell>
          <cell r="G595" t="str">
            <v>01-7184569</v>
          </cell>
        </row>
        <row r="596">
          <cell r="B596" t="str">
            <v>สินยืนยง</v>
          </cell>
          <cell r="C596" t="str">
            <v>18 ถ.สงขลาบุรี ต.บ่อยาง</v>
          </cell>
          <cell r="D596" t="str">
            <v>เมือง</v>
          </cell>
          <cell r="E596" t="str">
            <v>สงขลา</v>
          </cell>
          <cell r="F596" t="str">
            <v>074-313740</v>
          </cell>
          <cell r="G596" t="str">
            <v/>
          </cell>
        </row>
        <row r="597">
          <cell r="B597" t="str">
            <v>สุกิตยนต์</v>
          </cell>
          <cell r="C597" t="str">
            <v>26/22 ถ.ราษฎรพลี ต.ชะอำ</v>
          </cell>
          <cell r="D597" t="str">
            <v>ชะอำ</v>
          </cell>
          <cell r="E597" t="str">
            <v>เพชรบุรี</v>
          </cell>
          <cell r="F597" t="str">
            <v>032-472290</v>
          </cell>
          <cell r="G597" t="str">
            <v/>
          </cell>
        </row>
        <row r="598">
          <cell r="B598" t="str">
            <v>สุนทรโฮเต็ล</v>
          </cell>
          <cell r="C598" t="str">
            <v>95-97 ม.1 ถ.สิชล-นครศรีธรรมราช</v>
          </cell>
          <cell r="D598" t="str">
            <v>สิชล</v>
          </cell>
          <cell r="E598" t="str">
            <v>นครศรีธรรมราช</v>
          </cell>
          <cell r="F598" t="str">
            <v>075-536306,</v>
          </cell>
          <cell r="G598" t="str">
            <v>075-536094</v>
          </cell>
        </row>
        <row r="599">
          <cell r="B599" t="str">
            <v>สุนทรการช่าง</v>
          </cell>
          <cell r="C599" t="str">
            <v>298</v>
          </cell>
          <cell r="D599" t="str">
            <v>พยัคฆภูมิพิสั</v>
          </cell>
          <cell r="E599" t="str">
            <v>มหาสารคาม</v>
          </cell>
          <cell r="F599" t="str">
            <v>043-791307</v>
          </cell>
          <cell r="G599" t="str">
            <v/>
          </cell>
        </row>
        <row r="600">
          <cell r="B600" t="str">
            <v>สุนทรวณิชย์</v>
          </cell>
          <cell r="C600" t="str">
            <v>293/29-30 ซ.ตลาดเกษตร 1</v>
          </cell>
          <cell r="D600" t="str">
            <v>เมือง</v>
          </cell>
          <cell r="E600" t="str">
            <v>สุราษฎร์ธานี</v>
          </cell>
          <cell r="F600" t="str">
            <v>077-273950</v>
          </cell>
          <cell r="G600" t="str">
            <v>01-9586653</v>
          </cell>
        </row>
        <row r="601">
          <cell r="B601" t="str">
            <v>สุนันท์พาณิชย์</v>
          </cell>
          <cell r="C601" t="str">
            <v>153 ม.3 สันมหาพน</v>
          </cell>
          <cell r="D601" t="str">
            <v>แม่แตง</v>
          </cell>
          <cell r="E601" t="str">
            <v>เชียงใหม่</v>
          </cell>
          <cell r="F601" t="str">
            <v>053-842849</v>
          </cell>
          <cell r="G601" t="str">
            <v>081-9609723</v>
          </cell>
        </row>
        <row r="602">
          <cell r="B602" t="str">
            <v>สุนีย์ภัณฑ์</v>
          </cell>
          <cell r="C602" t="str">
            <v>29 ม. 7 ถง.เชียงใหม่-ลำพูน</v>
          </cell>
          <cell r="D602" t="str">
            <v>เมือง</v>
          </cell>
          <cell r="E602" t="str">
            <v>ลำพูน</v>
          </cell>
          <cell r="F602" t="str">
            <v>053-541368</v>
          </cell>
          <cell r="G602" t="str">
            <v>07-1755991</v>
          </cell>
        </row>
        <row r="603">
          <cell r="B603" t="str">
            <v>สุพรรณการค้า</v>
          </cell>
          <cell r="C603" t="str">
            <v>165/7 ต.ปากเหมือง</v>
          </cell>
          <cell r="D603" t="str">
            <v>ลานสัก</v>
          </cell>
          <cell r="E603" t="str">
            <v>อุทัยธานี</v>
          </cell>
          <cell r="F603" t="str">
            <v>056-522232</v>
          </cell>
          <cell r="G603" t="str">
            <v/>
          </cell>
        </row>
        <row r="604">
          <cell r="B604" t="str">
            <v>สุภารัตน์</v>
          </cell>
          <cell r="C604" t="str">
            <v>12/12 ถ.ชิดลม</v>
          </cell>
          <cell r="D604" t="str">
            <v>อ.แม่สอด</v>
          </cell>
          <cell r="E604" t="str">
            <v>ตาก</v>
          </cell>
          <cell r="F604" t="str">
            <v/>
          </cell>
          <cell r="G604" t="str">
            <v/>
          </cell>
        </row>
        <row r="605">
          <cell r="B605" t="str">
            <v>สุรศักดิ์ยนต์</v>
          </cell>
          <cell r="C605" t="str">
            <v>75/2 ม.1 ต.เชียงทอง</v>
          </cell>
          <cell r="D605" t="str">
            <v>วังเจ้า</v>
          </cell>
          <cell r="E605" t="str">
            <v>ตาก</v>
          </cell>
          <cell r="F605" t="str">
            <v>055-593178</v>
          </cell>
          <cell r="G605" t="str">
            <v/>
          </cell>
        </row>
        <row r="606">
          <cell r="B606" t="str">
            <v>สุรสิทธิ์ยนต์</v>
          </cell>
          <cell r="C606" t="str">
            <v>037 ถ.พานิชเจริญ</v>
          </cell>
          <cell r="D606" t="str">
            <v>เมือง</v>
          </cell>
          <cell r="E606" t="str">
            <v>นครนายก</v>
          </cell>
          <cell r="F606" t="str">
            <v>037-311222</v>
          </cell>
          <cell r="G606" t="str">
            <v/>
          </cell>
        </row>
        <row r="607">
          <cell r="B607" t="str">
            <v>สุริยา สุภาพรม</v>
          </cell>
          <cell r="C607" t="str">
            <v/>
          </cell>
          <cell r="D607" t="str">
            <v>จอมทอง</v>
          </cell>
          <cell r="E607" t="str">
            <v>กรุงเทพฯ</v>
          </cell>
          <cell r="F607" t="str">
            <v/>
          </cell>
          <cell r="G607" t="str">
            <v/>
          </cell>
        </row>
        <row r="608">
          <cell r="B608" t="str">
            <v>สุวรรนาจักรยาน (อภิชาติ)</v>
          </cell>
          <cell r="C608" t="str">
            <v>22 ม.3 ต.แม่จัน</v>
          </cell>
          <cell r="D608" t="str">
            <v>แม่จัน</v>
          </cell>
          <cell r="E608" t="str">
            <v>เชียงราย</v>
          </cell>
          <cell r="F608" t="str">
            <v>053-771392</v>
          </cell>
          <cell r="G608" t="str">
            <v/>
          </cell>
        </row>
        <row r="609">
          <cell r="B609" t="str">
            <v>หงษ์ฟ้าเกียรติศักดิ์</v>
          </cell>
          <cell r="C609" t="str">
            <v>252/14-15 ถนนประจักษ์</v>
          </cell>
          <cell r="D609" t="str">
            <v>เมือง</v>
          </cell>
          <cell r="E609" t="str">
            <v>อุดรธานี</v>
          </cell>
          <cell r="F609" t="str">
            <v>042-222614</v>
          </cell>
          <cell r="G609" t="str">
            <v>042-343058-</v>
          </cell>
        </row>
        <row r="610">
          <cell r="B610" t="str">
            <v>หงส์ฟ้าจักรยาน</v>
          </cell>
          <cell r="C610" t="str">
            <v>106 ม.6 ต.ทุงตระไคร้</v>
          </cell>
          <cell r="D610" t="str">
            <v>ทุ่งตะโก</v>
          </cell>
          <cell r="E610" t="str">
            <v>ชุมพร</v>
          </cell>
          <cell r="F610" t="str">
            <v>01-2719063</v>
          </cell>
          <cell r="G610" t="str">
            <v/>
          </cell>
        </row>
        <row r="611">
          <cell r="B611" t="str">
            <v>หงี่เป็งหงวน</v>
          </cell>
          <cell r="C611" t="str">
            <v>86/7 ถ.มหจักรพรรค์ ต.หน้าเมือง</v>
          </cell>
          <cell r="D611" t="str">
            <v>เมือง</v>
          </cell>
          <cell r="E611" t="str">
            <v>ฉะเชิงเทรา</v>
          </cell>
          <cell r="F611" t="str">
            <v>038-511134</v>
          </cell>
          <cell r="G611" t="str">
            <v/>
          </cell>
        </row>
        <row r="612">
          <cell r="B612" t="str">
            <v>หจก. ไล่ฮะพาณิชย์</v>
          </cell>
          <cell r="C612" t="str">
            <v>22-26 ถ.ไชยณรงค์</v>
          </cell>
          <cell r="D612" t="str">
            <v>เมือง</v>
          </cell>
          <cell r="E612" t="str">
            <v>นครราชสีมา</v>
          </cell>
          <cell r="F612" t="str">
            <v>044-252203</v>
          </cell>
          <cell r="G612" t="str">
            <v>044- 257258</v>
          </cell>
        </row>
        <row r="613">
          <cell r="B613" t="str">
            <v>หจก. ซี เอ็น ซี ไบด์</v>
          </cell>
          <cell r="C613" t="str">
            <v>130/27-29 ถ.ราษฎรอุทิศ</v>
          </cell>
          <cell r="D613" t="str">
            <v>อรัญประเทศ</v>
          </cell>
          <cell r="E613" t="str">
            <v>สระแก้ว</v>
          </cell>
          <cell r="F613" t="str">
            <v>037-232190</v>
          </cell>
          <cell r="G613" t="str">
            <v/>
          </cell>
        </row>
        <row r="614">
          <cell r="B614" t="str">
            <v>หจก. หยูฮะเฮงหนองคาย</v>
          </cell>
          <cell r="C614" t="str">
            <v>897/2 ถ.มีชัย ตรงข้ามศาลจังหวัด</v>
          </cell>
          <cell r="D614" t="str">
            <v>ท่าบ่อ</v>
          </cell>
          <cell r="E614" t="str">
            <v>หนองคาย</v>
          </cell>
          <cell r="F614" t="str">
            <v>042-420264</v>
          </cell>
          <cell r="G614" t="str">
            <v>042-420917</v>
          </cell>
        </row>
        <row r="615">
          <cell r="B615" t="str">
            <v>หจก.อาร์ อาร์ ไบร์ค</v>
          </cell>
          <cell r="C615" t="str">
            <v>83/3 ถ.บูรพาภิรมย์</v>
          </cell>
          <cell r="D615" t="str">
            <v>อรัญประเทศ</v>
          </cell>
          <cell r="E615" t="str">
            <v>สระแก้ว</v>
          </cell>
          <cell r="F615" t="str">
            <v>037-231352</v>
          </cell>
          <cell r="G615" t="str">
            <v>01-4101998</v>
          </cell>
        </row>
        <row r="616">
          <cell r="B616" t="str">
            <v>หจก.อึ้งหยูฮะเฮง</v>
          </cell>
          <cell r="C616" t="str">
            <v>376-378 ถ.หน้าเมือง ต.ในเมือง</v>
          </cell>
          <cell r="D616" t="str">
            <v>เมือง</v>
          </cell>
          <cell r="E616" t="str">
            <v>ขอนแก่น</v>
          </cell>
          <cell r="F616" t="str">
            <v>043-222-392</v>
          </cell>
          <cell r="G616" t="str">
            <v/>
          </cell>
        </row>
        <row r="617">
          <cell r="B617" t="str">
            <v>หจก.อึ้งหยูฮะเฮง</v>
          </cell>
          <cell r="C617" t="str">
            <v>897/2 .มีชัย ตรงข้ามศาลจังหวัด</v>
          </cell>
          <cell r="D617" t="str">
            <v>เมือง</v>
          </cell>
          <cell r="E617" t="str">
            <v>หนองคาย</v>
          </cell>
          <cell r="F617" t="str">
            <v/>
          </cell>
          <cell r="G617" t="str">
            <v/>
          </cell>
        </row>
        <row r="618">
          <cell r="B618" t="str">
            <v>หนองพอกโลหะ</v>
          </cell>
          <cell r="C618" t="str">
            <v>232 ม.8 ถ.หางนกยุง ต.หนองพอก</v>
          </cell>
          <cell r="D618" t="str">
            <v>หนองพอก</v>
          </cell>
          <cell r="E618" t="str">
            <v>ร้อยเอ็ด</v>
          </cell>
          <cell r="F618" t="str">
            <v>043-579159</v>
          </cell>
          <cell r="G618" t="str">
            <v/>
          </cell>
        </row>
        <row r="619">
          <cell r="B619" t="str">
            <v>หนึ่งคำมีเฟอร์นิเจอร์</v>
          </cell>
          <cell r="C619" t="str">
            <v>232 ม.10 ต.นาคู</v>
          </cell>
          <cell r="D619" t="str">
            <v>นาคู</v>
          </cell>
          <cell r="E619" t="str">
            <v>กาฬสินธุ์</v>
          </cell>
          <cell r="F619" t="str">
            <v>043-817109</v>
          </cell>
          <cell r="G619" t="str">
            <v/>
          </cell>
        </row>
        <row r="620">
          <cell r="B620" t="str">
            <v>หนึ่งจักรยาน</v>
          </cell>
          <cell r="C620" t="str">
            <v>394/17 ม.1 ต.เมืองปัก</v>
          </cell>
          <cell r="D620" t="str">
            <v>ปักธงชัย</v>
          </cell>
          <cell r="E620" t="str">
            <v>นครราชสีมา</v>
          </cell>
          <cell r="F620" t="str">
            <v>044-441485</v>
          </cell>
          <cell r="G620" t="str">
            <v/>
          </cell>
        </row>
        <row r="621">
          <cell r="B621" t="str">
            <v>หมงจักรยาน</v>
          </cell>
          <cell r="C621" t="str">
            <v>จ. 35 หน้าวัดประสาท ถ.อู่ทอง</v>
          </cell>
          <cell r="D621" t="str">
            <v>เมือง</v>
          </cell>
          <cell r="E621" t="str">
            <v>อยุธยา</v>
          </cell>
          <cell r="F621" t="str">
            <v>035-252406</v>
          </cell>
          <cell r="G621" t="str">
            <v/>
          </cell>
        </row>
        <row r="622">
          <cell r="B622" t="str">
            <v>หลีฮะจักรขนส่ง</v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</row>
        <row r="623">
          <cell r="B623" t="str">
            <v>หสน. เวิลด์ไบค์ชุมพร</v>
          </cell>
          <cell r="C623" t="str">
            <v>45/9 ถ.ปรมินทร์มรรดา</v>
          </cell>
          <cell r="D623" t="str">
            <v>เมือง</v>
          </cell>
          <cell r="E623" t="str">
            <v>ชุมพร</v>
          </cell>
          <cell r="F623" t="str">
            <v>077-511646,</v>
          </cell>
          <cell r="G623" t="str">
            <v>01-7970549</v>
          </cell>
        </row>
        <row r="624">
          <cell r="B624" t="str">
            <v>หัวหินอะไหล่</v>
          </cell>
          <cell r="C624" t="str">
            <v/>
          </cell>
          <cell r="D624" t="str">
            <v>หัวหิน</v>
          </cell>
          <cell r="E624" t="str">
            <v>ประจวบคีรีขัน</v>
          </cell>
          <cell r="F624" t="str">
            <v/>
          </cell>
          <cell r="G624" t="str">
            <v/>
          </cell>
        </row>
        <row r="625">
          <cell r="B625" t="str">
            <v>หัวหินอะไหล่ยนต์</v>
          </cell>
          <cell r="C625" t="str">
            <v>27/2 ถ.เพชรเกษม ต.หัวหิน</v>
          </cell>
          <cell r="D625" t="str">
            <v>หัวหิน</v>
          </cell>
          <cell r="E625" t="str">
            <v>ประจวบคีรีขัน</v>
          </cell>
          <cell r="F625" t="str">
            <v>032-530479</v>
          </cell>
          <cell r="G625" t="str">
            <v/>
          </cell>
        </row>
        <row r="626">
          <cell r="B626" t="str">
            <v>ห้าแยกอีเล็คโทรนิค</v>
          </cell>
          <cell r="C626" t="str">
            <v>21/3 ม.6 ต.บ้านกลาง</v>
          </cell>
          <cell r="D626" t="str">
            <v>สอง</v>
          </cell>
          <cell r="E626" t="str">
            <v>แพร่</v>
          </cell>
          <cell r="F626" t="str">
            <v>054-591596</v>
          </cell>
          <cell r="G626" t="str">
            <v>054-591934</v>
          </cell>
        </row>
        <row r="627">
          <cell r="B627" t="str">
            <v>ห้างเลเฟอร์นิเจอร์</v>
          </cell>
          <cell r="C627" t="str">
            <v>11 ม.3 ถ.หิรัญนคร ต.แม่จัน</v>
          </cell>
          <cell r="D627" t="str">
            <v>แม่จัน</v>
          </cell>
          <cell r="E627" t="str">
            <v>เชียงราย</v>
          </cell>
          <cell r="F627" t="str">
            <v>053-771767</v>
          </cell>
          <cell r="G627" t="str">
            <v/>
          </cell>
        </row>
        <row r="628">
          <cell r="B628" t="str">
            <v>หาญพานิช</v>
          </cell>
          <cell r="C628" t="str">
            <v>282-284 ถ.สุดบรรทัด</v>
          </cell>
          <cell r="D628" t="str">
            <v>แก่งคอย</v>
          </cell>
          <cell r="E628" t="str">
            <v>สระบุรี</v>
          </cell>
          <cell r="F628" t="str">
            <v>036-244038</v>
          </cell>
          <cell r="G628" t="str">
            <v/>
          </cell>
        </row>
        <row r="629">
          <cell r="B629" t="str">
            <v>อ.การช่าง</v>
          </cell>
          <cell r="C629" t="str">
            <v>12/7 ม.1 ต.บ้านกอก</v>
          </cell>
          <cell r="D629" t="str">
            <v>จตุรัส</v>
          </cell>
          <cell r="E629" t="str">
            <v>ชัยภูมิ</v>
          </cell>
          <cell r="F629" t="str">
            <v>087-8710857</v>
          </cell>
          <cell r="G629" t="str">
            <v/>
          </cell>
        </row>
        <row r="630">
          <cell r="B630" t="str">
            <v>อ.จักรยาน</v>
          </cell>
          <cell r="C630" t="str">
            <v>87 ม.9 ตลาดหนองวัวซอ ต.หมากหญ้า</v>
          </cell>
          <cell r="D630" t="str">
            <v>หนองวัวซอ</v>
          </cell>
          <cell r="E630" t="str">
            <v>อุดรธานี</v>
          </cell>
          <cell r="F630" t="str">
            <v>042-285831</v>
          </cell>
          <cell r="G630" t="str">
            <v>01-5927380</v>
          </cell>
        </row>
        <row r="631">
          <cell r="B631" t="str">
            <v>อ.ประเสริฐ</v>
          </cell>
          <cell r="C631" t="str">
            <v>74/17 ถ.ศรีสุข ต.หมากแข้ง</v>
          </cell>
          <cell r="D631" t="str">
            <v>เมือง</v>
          </cell>
          <cell r="E631" t="str">
            <v>อุดรธานี</v>
          </cell>
          <cell r="F631" t="str">
            <v>042-241917</v>
          </cell>
          <cell r="G631" t="str">
            <v>06-2424414</v>
          </cell>
        </row>
        <row r="632">
          <cell r="B632" t="str">
            <v>อ.สุพจน์ สิทธิ (ครูแหล่)</v>
          </cell>
          <cell r="C632" t="str">
            <v>65/10 บ้านโนนสังข์</v>
          </cell>
          <cell r="D632" t="str">
            <v>โนนสังข์</v>
          </cell>
          <cell r="E632" t="str">
            <v>หนองบัวลำภู</v>
          </cell>
          <cell r="F632" t="str">
            <v>09-7092304</v>
          </cell>
          <cell r="G632" t="str">
            <v/>
          </cell>
        </row>
        <row r="633">
          <cell r="B633" t="str">
            <v>อ.อนันต์เจริญ</v>
          </cell>
          <cell r="C633" t="str">
            <v>74/13 ถ.เทศบาล สาย 4</v>
          </cell>
          <cell r="D633" t="str">
            <v>ขลุง</v>
          </cell>
          <cell r="E633" t="str">
            <v>จันทบุรี</v>
          </cell>
          <cell r="F633" t="str">
            <v>039-441673</v>
          </cell>
          <cell r="G633" t="str">
            <v/>
          </cell>
        </row>
        <row r="634">
          <cell r="B634" t="str">
            <v>อดิศักดิ์การเกษตร</v>
          </cell>
          <cell r="C634" t="str">
            <v>42/1 ต.เต่างอย</v>
          </cell>
          <cell r="D634" t="str">
            <v>เต่างอย</v>
          </cell>
          <cell r="E634" t="str">
            <v>สกลนคร</v>
          </cell>
          <cell r="F634" t="str">
            <v>042-761188</v>
          </cell>
          <cell r="G634" t="str">
            <v/>
          </cell>
        </row>
        <row r="635">
          <cell r="B635" t="str">
            <v>อภิชนจักรยาน (สุรสิทธิ์ยนต)์</v>
          </cell>
          <cell r="C635" t="str">
            <v>2 ม.5 ต.ไพศาลี</v>
          </cell>
          <cell r="D635" t="str">
            <v>อ.ไพศาลี</v>
          </cell>
          <cell r="E635" t="str">
            <v>นครสวรรค์</v>
          </cell>
          <cell r="F635" t="str">
            <v>056-352223</v>
          </cell>
          <cell r="G635" t="str">
            <v/>
          </cell>
        </row>
        <row r="636">
          <cell r="B636" t="str">
            <v>อภิชัยจักรยาน</v>
          </cell>
          <cell r="C636" t="str">
            <v/>
          </cell>
          <cell r="D636" t="str">
            <v>เอราวัณ</v>
          </cell>
          <cell r="E636" t="str">
            <v>เลย</v>
          </cell>
          <cell r="F636" t="str">
            <v>042-853122-3</v>
          </cell>
          <cell r="G636" t="str">
            <v/>
          </cell>
        </row>
        <row r="637">
          <cell r="B637" t="str">
            <v>อภิชัยรวมสินค้า</v>
          </cell>
          <cell r="C637" t="str">
            <v>99 ถ. รัชฎาอุทิศ ต. กันตัง</v>
          </cell>
          <cell r="D637" t="str">
            <v>กันตัง</v>
          </cell>
          <cell r="E637" t="str">
            <v>ตรัง</v>
          </cell>
          <cell r="F637" t="str">
            <v>09-2974872</v>
          </cell>
          <cell r="G637" t="str">
            <v/>
          </cell>
        </row>
        <row r="638">
          <cell r="B638" t="str">
            <v>อยู่เจริญ</v>
          </cell>
          <cell r="C638" t="str">
            <v>4/1 ถ.ชุมสาย</v>
          </cell>
          <cell r="D638" t="str">
            <v>ตะพานหิน</v>
          </cell>
          <cell r="E638" t="str">
            <v>พิจิตร</v>
          </cell>
          <cell r="F638" t="str">
            <v>056-624193</v>
          </cell>
          <cell r="G638" t="str">
            <v/>
          </cell>
        </row>
        <row r="639">
          <cell r="B639" t="str">
            <v>ออฟฟิศ</v>
          </cell>
          <cell r="C639" t="str">
            <v>ออฟฟิศ (เบิกสินค้าตัวอย่าง)</v>
          </cell>
          <cell r="D639" t="str">
            <v>จอมทอง</v>
          </cell>
          <cell r="E639" t="str">
            <v>กรุงเทพฯ</v>
          </cell>
          <cell r="F639" t="str">
            <v/>
          </cell>
          <cell r="G639" t="str">
            <v/>
          </cell>
        </row>
        <row r="640">
          <cell r="B640" t="str">
            <v>อะหลั่ยกลการ</v>
          </cell>
          <cell r="C640" t="str">
            <v>253-257 ถ.ไชยณรงค์</v>
          </cell>
          <cell r="D640" t="str">
            <v>เมือง</v>
          </cell>
          <cell r="E640" t="str">
            <v>นครราชสีมา</v>
          </cell>
          <cell r="F640" t="str">
            <v/>
          </cell>
          <cell r="G640" t="str">
            <v/>
          </cell>
        </row>
        <row r="641">
          <cell r="B641" t="str">
            <v>อาเซียม</v>
          </cell>
          <cell r="C641" t="str">
            <v>75/1 ม.3 ต.อินทรประมูล</v>
          </cell>
          <cell r="D641" t="str">
            <v>โพธิ์ทอง</v>
          </cell>
          <cell r="E641" t="str">
            <v>อ่างทอง</v>
          </cell>
          <cell r="F641" t="str">
            <v>035-691178</v>
          </cell>
          <cell r="G641" t="str">
            <v/>
          </cell>
        </row>
        <row r="642">
          <cell r="B642" t="str">
            <v>อาเซียม</v>
          </cell>
          <cell r="C642" t="str">
            <v>161 ม.7 ต.ศาลเจ้าโรงทอง</v>
          </cell>
          <cell r="D642" t="str">
            <v>วิเศษชัยชาญ</v>
          </cell>
          <cell r="E642" t="str">
            <v>อ่างทอง</v>
          </cell>
          <cell r="F642" t="str">
            <v>035-631313</v>
          </cell>
          <cell r="G642" t="str">
            <v/>
          </cell>
        </row>
        <row r="643">
          <cell r="B643" t="str">
            <v>อาคม</v>
          </cell>
          <cell r="C643" t="str">
            <v>384/386 ถ.เจ้าสำอาง ต.กบินทร์บุรี</v>
          </cell>
          <cell r="D643" t="str">
            <v>กบินทร์บุรี</v>
          </cell>
          <cell r="E643" t="str">
            <v>ปราจีนบุรี</v>
          </cell>
          <cell r="F643" t="str">
            <v>037-281314</v>
          </cell>
          <cell r="G643" t="str">
            <v/>
          </cell>
        </row>
        <row r="644">
          <cell r="B644" t="str">
            <v>อารีวัสดุ</v>
          </cell>
          <cell r="C644" t="str">
            <v>49 ม.1 บ้านห้วยทับทัน ต.ห้วยทับทัน</v>
          </cell>
          <cell r="D644" t="str">
            <v>ห้วยทับทัน</v>
          </cell>
          <cell r="E644" t="str">
            <v>ศรีสะเกษ</v>
          </cell>
          <cell r="F644" t="str">
            <v>09-9493874</v>
          </cell>
          <cell r="G644" t="str">
            <v/>
          </cell>
        </row>
        <row r="645">
          <cell r="B645" t="str">
            <v>อี้พงษ์</v>
          </cell>
          <cell r="C645" t="str">
            <v>136 ถ.ศาลาแดง</v>
          </cell>
          <cell r="D645" t="str">
            <v>เมือง</v>
          </cell>
          <cell r="E645" t="str">
            <v>ชุมพร</v>
          </cell>
          <cell r="F645" t="str">
            <v>077-502432,</v>
          </cell>
          <cell r="G645" t="str">
            <v>01-8933119</v>
          </cell>
        </row>
        <row r="646">
          <cell r="B646" t="str">
            <v>อึ้งกวงเกีย</v>
          </cell>
          <cell r="C646" t="str">
            <v>546-548 ถ.พหลโยธิน ต.เวียง</v>
          </cell>
          <cell r="D646" t="str">
            <v>เมือง</v>
          </cell>
          <cell r="E646" t="str">
            <v>พะเยา</v>
          </cell>
          <cell r="F646" t="str">
            <v>054-431006</v>
          </cell>
          <cell r="G646" t="str">
            <v>054-480295</v>
          </cell>
        </row>
        <row r="647">
          <cell r="B647" t="str">
            <v>อึ้งซุ่นฮะ</v>
          </cell>
          <cell r="C647" t="str">
            <v>ถ.ราษฏร์บุรี</v>
          </cell>
          <cell r="D647" t="str">
            <v>ครบุรี</v>
          </cell>
          <cell r="E647" t="str">
            <v>นครราชสีมา</v>
          </cell>
          <cell r="F647" t="str">
            <v>044-448265</v>
          </cell>
          <cell r="G647" t="str">
            <v/>
          </cell>
        </row>
        <row r="648">
          <cell r="B648" t="str">
            <v>อุดมทรัพย์</v>
          </cell>
          <cell r="C648" t="str">
            <v>138 ม.2 ต.ฟ้าหยาด</v>
          </cell>
          <cell r="D648" t="str">
            <v>มหาชนะชัย</v>
          </cell>
          <cell r="E648" t="str">
            <v>ยโสธร</v>
          </cell>
          <cell r="F648" t="str">
            <v>045-799073</v>
          </cell>
          <cell r="G648" t="str">
            <v/>
          </cell>
        </row>
        <row r="649">
          <cell r="B649" t="str">
            <v>อุดมยานยนต์</v>
          </cell>
          <cell r="C649" t="str">
            <v/>
          </cell>
          <cell r="D649" t="str">
            <v>สุวรรณคูหา</v>
          </cell>
          <cell r="E649" t="str">
            <v>หนองบัวลำภู</v>
          </cell>
          <cell r="F649" t="str">
            <v>042-372394</v>
          </cell>
          <cell r="G649" t="str">
            <v/>
          </cell>
        </row>
        <row r="650">
          <cell r="B650" t="str">
            <v>อุดมฤกษ์จักรยาน</v>
          </cell>
          <cell r="C650" t="str">
            <v/>
          </cell>
          <cell r="D650" t="str">
            <v>บัวเชด</v>
          </cell>
          <cell r="E650" t="str">
            <v>สุรินทร์</v>
          </cell>
          <cell r="F650" t="str">
            <v>044-579084</v>
          </cell>
          <cell r="G650" t="str">
            <v/>
          </cell>
        </row>
        <row r="651">
          <cell r="B651" t="str">
            <v>อุบลจักรยาน</v>
          </cell>
          <cell r="C651" t="str">
            <v>40/1 ม.7 ตลาดพรเจริญ</v>
          </cell>
          <cell r="D651" t="str">
            <v>พรเจริญ</v>
          </cell>
          <cell r="E651" t="str">
            <v>หนองคาย</v>
          </cell>
          <cell r="F651" t="str">
            <v>042-487006</v>
          </cell>
          <cell r="G651" t="str">
            <v>01-9659754</v>
          </cell>
        </row>
        <row r="652">
          <cell r="B652" t="str">
            <v>อู๋ง้วนจักรยาน</v>
          </cell>
          <cell r="C652" t="str">
            <v>457 ถ.แสงชูโต ต.ท่าเรือ</v>
          </cell>
          <cell r="D652" t="str">
            <v>ท่ามะกา</v>
          </cell>
          <cell r="E652" t="str">
            <v>กาญจนบุรี</v>
          </cell>
          <cell r="F652" t="str">
            <v>034-561489</v>
          </cell>
          <cell r="G652" t="str">
            <v/>
          </cell>
        </row>
        <row r="653">
          <cell r="B653" t="str">
            <v>ฮวดเฮง</v>
          </cell>
          <cell r="C653" t="str">
            <v>141-172 ม.9 ถ.เทศบาล</v>
          </cell>
          <cell r="D653" t="str">
            <v>กระสัง</v>
          </cell>
          <cell r="E653" t="str">
            <v>บุรีรัมย์</v>
          </cell>
          <cell r="F653" t="str">
            <v>044-691079</v>
          </cell>
          <cell r="G653" t="str">
            <v/>
          </cell>
        </row>
        <row r="654">
          <cell r="B654" t="str">
            <v>ฮอล์อะไหล่</v>
          </cell>
          <cell r="C654" t="str">
            <v>174/1 ถ.นิตโย ต.ในเมือง</v>
          </cell>
          <cell r="D654" t="str">
            <v>เมือง</v>
          </cell>
          <cell r="E654" t="str">
            <v>นครพนม</v>
          </cell>
          <cell r="F654" t="str">
            <v>042-511262</v>
          </cell>
          <cell r="G654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21"/>
      <sheetName val="368"/>
      <sheetName val="369"/>
      <sheetName val="370"/>
      <sheetName val="371"/>
      <sheetName val="372"/>
      <sheetName val="373"/>
      <sheetName val="374"/>
      <sheetName val="375"/>
      <sheetName val="376"/>
      <sheetName val="377"/>
      <sheetName val="378"/>
      <sheetName val="379"/>
      <sheetName val="380"/>
      <sheetName val="381"/>
      <sheetName val="382"/>
      <sheetName val="383"/>
      <sheetName val="384"/>
      <sheetName val="385"/>
      <sheetName val="386"/>
      <sheetName val="387"/>
      <sheetName val="388"/>
      <sheetName val="389"/>
      <sheetName val="390"/>
      <sheetName val="391"/>
      <sheetName val="392"/>
      <sheetName val="393"/>
      <sheetName val="394"/>
      <sheetName val="395"/>
      <sheetName val="396"/>
      <sheetName val="397"/>
      <sheetName val="398"/>
      <sheetName val="399"/>
      <sheetName val="400"/>
      <sheetName val="401"/>
      <sheetName val="402"/>
      <sheetName val="403"/>
      <sheetName val="404"/>
      <sheetName val="405"/>
      <sheetName val="406"/>
      <sheetName val="407"/>
      <sheetName val="408"/>
      <sheetName val="409"/>
      <sheetName val="410"/>
      <sheetName val="411"/>
      <sheetName val="412"/>
      <sheetName val="413"/>
      <sheetName val="414"/>
      <sheetName val="415"/>
      <sheetName val="416"/>
      <sheetName val="417"/>
      <sheetName val="418"/>
      <sheetName val="419"/>
      <sheetName val="420"/>
      <sheetName val="421"/>
      <sheetName val="422"/>
      <sheetName val="423"/>
      <sheetName val="424"/>
      <sheetName val="425"/>
      <sheetName val="426"/>
      <sheetName val="427"/>
      <sheetName val="428"/>
      <sheetName val="429"/>
      <sheetName val="430"/>
      <sheetName val="431"/>
      <sheetName val="432"/>
      <sheetName val="433"/>
      <sheetName val="434"/>
      <sheetName val="435"/>
      <sheetName val="436"/>
      <sheetName val="437"/>
      <sheetName val="438"/>
      <sheetName val="439"/>
      <sheetName val="440"/>
      <sheetName val="441"/>
      <sheetName val="442"/>
      <sheetName val="443"/>
      <sheetName val="444"/>
      <sheetName val="445"/>
      <sheetName val="446"/>
      <sheetName val="447"/>
      <sheetName val="448"/>
      <sheetName val="449"/>
      <sheetName val="450"/>
      <sheetName val="451"/>
      <sheetName val="452"/>
      <sheetName val="453"/>
      <sheetName val="454"/>
      <sheetName val="455"/>
      <sheetName val="456"/>
      <sheetName val="457"/>
      <sheetName val="458"/>
      <sheetName val="459"/>
      <sheetName val="460"/>
      <sheetName val="461"/>
      <sheetName val="List"/>
      <sheetName val="Op"/>
      <sheetName val="C2"/>
      <sheetName val="AL"/>
      <sheetName val="SKD"/>
      <sheetName val="A2"/>
      <sheetName val="01"/>
      <sheetName val="AB"/>
      <sheetName val="TR"/>
      <sheetName val="A"/>
      <sheetName val="B"/>
      <sheetName val="1"/>
      <sheetName val="2"/>
      <sheetName val="3A"/>
      <sheetName val="3B"/>
      <sheetName val="4"/>
      <sheetName val="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tabColor rgb="FFA90792"/>
    <x:outlinePr summaryBelow="1" summaryRight="1"/>
    <x:pageSetUpPr fitToPage="1"/>
  </x:sheetPr>
  <x:dimension ref="A1:S37"/>
  <x:sheetViews>
    <x:sheetView topLeftCell="A22" zoomScale="60" zoomScaleNormal="80" workbookViewId="0">
      <x:selection activeCell="D31" sqref="D31"/>
    </x:sheetView>
  </x:sheetViews>
  <x:sheetFormatPr defaultColWidth="9.179688" defaultRowHeight="34.5"/>
  <x:cols>
    <x:col min="1" max="2" width="1.542969" style="1" customWidth="1"/>
    <x:col min="3" max="3" width="23.269531" style="1" customWidth="1"/>
    <x:col min="4" max="4" width="77.089844" style="1" customWidth="1"/>
    <x:col min="5" max="5" width="33.542969" style="1" customWidth="1"/>
    <x:col min="6" max="6" width="11" style="1" customWidth="1"/>
    <x:col min="7" max="7" width="7.542969" style="1" customWidth="1"/>
    <x:col min="8" max="8" width="17.632812" style="1" customWidth="1"/>
    <x:col min="9" max="9" width="16.269531" style="1" customWidth="1"/>
    <x:col min="10" max="10" width="0.089844" style="1" hidden="1" customWidth="1"/>
    <x:col min="11" max="11" width="7.269531" style="1" customWidth="1"/>
    <x:col min="12" max="12" width="5.089844" style="1" customWidth="1"/>
    <x:col min="13" max="13" width="8.363281" style="1" hidden="1" customWidth="1"/>
    <x:col min="14" max="14" width="13.269531" style="1" hidden="1" customWidth="1"/>
    <x:col min="15" max="19" width="9.179688" style="1" hidden="1" customWidth="1"/>
    <x:col min="20" max="16384" width="9.179688" style="1" customWidth="1"/>
  </x:cols>
  <x:sheetData>
    <x:row r="1" spans="1:19" ht="53.5" customHeight="1" s="226" customFormat="1">
      <x:c r="A1" s="24"/>
      <x:c r="B1" s="24"/>
      <x:c r="D1" s="16"/>
      <x:c r="E1" s="16"/>
      <x:c r="F1" s="22"/>
      <x:c r="G1" s="16" t="s">
        <x:v>1</x:v>
      </x:c>
      <x:c r="H1" s="16"/>
      <x:c r="K1" s="21"/>
      <x:c r="L1" s="21"/>
      <x:c r="M1" s="21"/>
      <x:c r="N1" s="22"/>
      <x:c r="O1" s="22"/>
      <x:c r="P1" s="22"/>
      <x:c r="Q1" s="22"/>
      <x:c r="R1" s="22"/>
      <x:c r="S1" s="22"/>
    </x:row>
    <x:row r="2" spans="1:19" ht="35.5" customHeight="1" s="226" customFormat="1">
      <x:c r="A2" s="24"/>
      <x:c r="B2" s="24"/>
      <x:c r="D2" s="5"/>
      <x:c r="E2" s="21"/>
      <x:c r="G2" s="17"/>
      <x:c r="I2" s="26"/>
      <x:c r="J2" s="26"/>
      <x:c r="K2" s="26"/>
      <x:c r="L2" s="26"/>
      <x:c r="O2" s="26"/>
      <x:c r="P2" s="26"/>
      <x:c r="Q2" s="26"/>
      <x:c r="R2" s="26"/>
      <x:c r="S2" s="26"/>
    </x:row>
    <x:row r="3" spans="1:19" ht="33" customHeight="1" s="226" customFormat="1">
      <x:c r="A3" s="24"/>
      <x:c r="B3" s="24"/>
      <x:c r="D3" s="17"/>
      <x:c r="E3" s="21"/>
      <x:c r="F3" s="22"/>
      <x:c r="G3" s="27"/>
      <x:c r="H3" s="25"/>
      <x:c r="I3" s="27"/>
      <x:c r="J3" s="27"/>
      <x:c r="K3" s="27"/>
      <x:c r="L3" s="27"/>
      <x:c r="O3" s="23"/>
      <x:c r="P3" s="23"/>
      <x:c r="Q3" s="22"/>
      <x:c r="R3" s="22"/>
      <x:c r="S3" s="22"/>
    </x:row>
    <x:row r="4" spans="1:19" ht="33" customHeight="1" s="226" customFormat="1">
      <x:c r="A4" s="24"/>
      <x:c r="B4" s="72"/>
      <x:c r="C4" s="70" t="s">
        <x:v>2</x:v>
      </x:c>
      <x:c r="D4" s="309"/>
      <x:c r="E4" s="52"/>
      <x:c r="F4" s="51" t="s">
        <x:v>3</x:v>
      </x:c>
      <x:c r="G4" s="32"/>
      <x:c r="H4" s="32"/>
      <x:c r="I4" s="65"/>
      <x:c r="J4" s="65"/>
      <x:c r="K4" s="66"/>
      <x:c r="L4" s="22"/>
      <x:c r="M4" s="22"/>
      <x:c r="N4" s="23"/>
      <x:c r="O4" s="23"/>
      <x:c r="P4" s="23"/>
      <x:c r="Q4" s="22"/>
      <x:c r="R4" s="22"/>
      <x:c r="S4" s="22"/>
    </x:row>
    <x:row r="5" spans="1:19" ht="36" customHeight="1">
      <x:c r="B5" s="62"/>
      <x:c r="C5" s="310"/>
      <x:c r="F5" s="17" t="s">
        <x:v>4</x:v>
      </x:c>
      <x:c r="G5" s="2"/>
      <x:c r="H5" s="2"/>
      <x:c r="I5" s="5"/>
      <x:c r="J5" s="5"/>
      <x:c r="K5" s="40"/>
    </x:row>
    <x:row r="6" spans="1:19" ht="51.5" customHeight="1" s="2" customFormat="1">
      <x:c r="B6" s="73"/>
      <x:c r="C6" s="71"/>
      <x:c r="F6" s="17" t="s">
        <x:v>5</x:v>
      </x:c>
      <x:c r="I6" s="64"/>
      <x:c r="J6" s="64"/>
      <x:c r="K6" s="40"/>
      <x:c r="P6" s="3"/>
    </x:row>
    <x:row r="7" spans="1:19" ht="40.5" customHeight="1" s="2" customFormat="1">
      <x:c r="B7" s="73"/>
      <x:c r="C7" s="7"/>
      <x:c r="F7" s="60"/>
      <x:c r="G7" s="60"/>
      <x:c r="H7" s="60"/>
      <x:c r="I7" s="63"/>
      <x:c r="J7" s="63"/>
      <x:c r="K7" s="41"/>
    </x:row>
    <x:row r="8" spans="1:19" ht="35.25" customHeight="1" s="2" customFormat="1">
      <x:c r="B8" s="73"/>
      <x:c r="C8" s="7"/>
      <x:c r="D8" s="7"/>
      <x:c r="F8" s="60" t="s">
        <x:v>6</x:v>
      </x:c>
      <x:c r="G8" s="60"/>
      <x:c r="H8" s="60"/>
      <x:c r="I8" s="38"/>
      <x:c r="J8" s="38"/>
      <x:c r="K8" s="42"/>
      <x:c r="M8" s="311"/>
      <x:c r="N8" s="26"/>
    </x:row>
    <x:row r="9" spans="1:19" ht="36" customHeight="1" s="2" customFormat="1">
      <x:c r="B9" s="73"/>
      <x:c r="C9" s="5" t="s">
        <x:v>7</x:v>
      </x:c>
      <x:c r="D9" s="33"/>
      <x:c r="E9" s="7"/>
      <x:c r="F9" s="60" t="s">
        <x:v>8</x:v>
      </x:c>
      <x:c r="G9" s="60"/>
      <x:c r="H9" s="60"/>
      <x:c r="I9" s="39">
        <x:f>I4+M7</x:f>
      </x:c>
      <x:c r="J9" s="39"/>
      <x:c r="K9" s="42"/>
      <x:c r="M9" s="18"/>
      <x:c r="N9" s="18"/>
    </x:row>
    <x:row r="10" spans="1:19" ht="36" customHeight="1" s="2" customFormat="1">
      <x:c r="B10" s="73"/>
      <x:c r="C10" s="5"/>
      <x:c r="D10" s="33"/>
      <x:c r="E10" s="7"/>
      <x:c r="F10" s="60"/>
      <x:c r="G10" s="60"/>
      <x:c r="H10" s="60"/>
      <x:c r="I10" s="39"/>
      <x:c r="J10" s="39"/>
      <x:c r="K10" s="42"/>
      <x:c r="M10" s="18"/>
      <x:c r="N10" s="18"/>
    </x:row>
    <x:row r="11" spans="1:19" ht="39.75" customHeight="1" s="2" customFormat="1">
      <x:c r="B11" s="73"/>
      <x:c r="C11" s="34" t="s">
        <x:v>10</x:v>
      </x:c>
      <x:c r="D11" s="34"/>
      <x:c r="E11" s="35"/>
      <x:c r="F11" s="35"/>
      <x:c r="G11" s="35"/>
      <x:c r="H11" s="35"/>
      <x:c r="I11" s="35"/>
      <x:c r="J11" s="35"/>
      <x:c r="K11" s="43"/>
      <x:c r="M11" s="18"/>
      <x:c r="N11" s="18"/>
    </x:row>
    <x:row r="12" spans="1:19" ht="36" customHeight="1" s="199" customFormat="1">
      <x:c r="B12" s="298" t="s">
        <x:v>11</x:v>
      </x:c>
      <x:c r="C12" s="299"/>
      <x:c r="D12" s="207" t="s">
        <x:v>12</x:v>
      </x:c>
      <x:c r="E12" s="207"/>
      <x:c r="F12" s="207" t="s">
        <x:v>13</x:v>
      </x:c>
      <x:c r="G12" s="204" t="s">
        <x:v>14</x:v>
      </x:c>
      <x:c r="H12" s="204" t="s">
        <x:v>15</x:v>
      </x:c>
      <x:c r="I12" s="204" t="s">
        <x:v>16</x:v>
      </x:c>
      <x:c r="J12" s="204"/>
      <x:c r="K12" s="204"/>
    </x:row>
    <x:row r="13" spans="1:19" ht="8.25" customHeight="1" s="7" customFormat="1">
      <x:c r="B13" s="19"/>
      <x:c r="C13" s="214"/>
      <x:c r="D13" s="208"/>
      <x:c r="E13" s="74"/>
      <x:c r="F13" s="211"/>
      <x:c r="G13" s="209"/>
      <x:c r="H13" s="200"/>
      <x:c r="I13" s="201"/>
      <x:c r="J13" s="202"/>
      <x:c r="K13" s="203"/>
    </x:row>
    <x:row r="14" spans="1:19" ht="35.25" customHeight="1" s="2" customFormat="1">
      <x:c r="B14" s="73"/>
      <x:c r="C14" s="75"/>
      <x:c r="D14" s="17"/>
      <x:c r="E14" s="17"/>
      <x:c r="F14" s="69"/>
      <x:c r="G14" s="205" t="s">
        <x:v>9</x:v>
      </x:c>
      <x:c r="H14" s="69"/>
      <x:c r="I14" s="306"/>
      <x:c r="J14" s="312"/>
      <x:c r="K14" s="49"/>
      <x:c r="L14" s="4"/>
      <x:c r="M14" s="4"/>
      <x:c r="N14" s="4"/>
    </x:row>
    <x:row r="15" spans="1:19" ht="35.25" customHeight="1" s="2" customFormat="1">
      <x:c r="B15" s="73"/>
      <x:c r="C15" s="75"/>
      <x:c r="D15" s="17"/>
      <x:c r="E15" s="17"/>
      <x:c r="F15" s="69"/>
      <x:c r="G15" s="205" t="s">
        <x:v>9</x:v>
      </x:c>
      <x:c r="H15" s="69"/>
      <x:c r="I15" s="306"/>
      <x:c r="J15" s="312"/>
      <x:c r="K15" s="49"/>
      <x:c r="L15" s="4"/>
      <x:c r="M15" s="4"/>
      <x:c r="N15" s="4"/>
    </x:row>
    <x:row r="16" spans="1:19" ht="35.25" customHeight="1" s="2" customFormat="1">
      <x:c r="B16" s="73"/>
      <x:c r="C16" s="75"/>
      <x:c r="D16" s="17"/>
      <x:c r="E16" s="17"/>
      <x:c r="F16" s="69"/>
      <x:c r="G16" s="205" t="s">
        <x:v>9</x:v>
      </x:c>
      <x:c r="H16" s="69"/>
      <x:c r="I16" s="306"/>
      <x:c r="J16" s="312"/>
      <x:c r="K16" s="49"/>
      <x:c r="L16" s="4"/>
      <x:c r="M16" s="4"/>
      <x:c r="N16" s="4"/>
    </x:row>
    <x:row r="17" spans="1:19" ht="35.25" customHeight="1" s="2" customFormat="1">
      <x:c r="B17" s="73"/>
      <x:c r="C17" s="75"/>
      <x:c r="D17" s="17"/>
      <x:c r="E17" s="17"/>
      <x:c r="F17" s="69"/>
      <x:c r="G17" s="205" t="s">
        <x:v>9</x:v>
      </x:c>
      <x:c r="H17" s="69"/>
      <x:c r="I17" s="306"/>
      <x:c r="J17" s="312"/>
      <x:c r="K17" s="49"/>
      <x:c r="L17" s="4"/>
      <x:c r="M17" s="4"/>
      <x:c r="N17" s="4"/>
    </x:row>
    <x:row r="18" spans="1:19" ht="35.25" customHeight="1" s="2" customFormat="1">
      <x:c r="B18" s="73"/>
      <x:c r="C18" s="75"/>
      <x:c r="D18" s="17"/>
      <x:c r="E18" s="17"/>
      <x:c r="F18" s="69"/>
      <x:c r="G18" s="205" t="s">
        <x:v>9</x:v>
      </x:c>
      <x:c r="H18" s="69"/>
      <x:c r="I18" s="306"/>
      <x:c r="J18" s="312"/>
      <x:c r="K18" s="49"/>
      <x:c r="L18" s="4"/>
      <x:c r="M18" s="4"/>
      <x:c r="N18" s="4"/>
    </x:row>
    <x:row r="19" spans="1:19" ht="38.25" customHeight="1" s="2" customFormat="1">
      <x:c r="B19" s="73"/>
      <x:c r="C19" s="75"/>
      <x:c r="D19" s="17"/>
      <x:c r="E19" s="17"/>
      <x:c r="F19" s="69"/>
      <x:c r="G19" s="205" t="s">
        <x:v>9</x:v>
      </x:c>
      <x:c r="H19" s="69"/>
      <x:c r="I19" s="306"/>
      <x:c r="J19" s="312"/>
      <x:c r="K19" s="49"/>
      <x:c r="L19" s="4"/>
      <x:c r="M19" s="4"/>
      <x:c r="N19" s="4"/>
    </x:row>
    <x:row r="20" spans="1:19" ht="36.75" customHeight="1" s="2" customFormat="1">
      <x:c r="B20" s="73"/>
      <x:c r="C20" s="75"/>
      <x:c r="D20" s="17"/>
      <x:c r="E20" s="17"/>
      <x:c r="F20" s="69"/>
      <x:c r="G20" s="205" t="s">
        <x:v>9</x:v>
      </x:c>
      <x:c r="H20" s="69"/>
      <x:c r="I20" s="306"/>
      <x:c r="J20" s="312"/>
      <x:c r="K20" s="49"/>
      <x:c r="L20" s="4"/>
      <x:c r="M20" s="4"/>
      <x:c r="N20" s="4"/>
    </x:row>
    <x:row r="21" spans="1:19" ht="38.25" customHeight="1" s="2" customFormat="1">
      <x:c r="B21" s="73"/>
      <x:c r="C21" s="75"/>
      <x:c r="D21" s="17"/>
      <x:c r="E21" s="17"/>
      <x:c r="F21" s="69"/>
      <x:c r="G21" s="205" t="s">
        <x:v>9</x:v>
      </x:c>
      <x:c r="H21" s="69"/>
      <x:c r="I21" s="306"/>
      <x:c r="J21" s="312"/>
      <x:c r="K21" s="49"/>
      <x:c r="L21" s="4"/>
      <x:c r="M21" s="4"/>
      <x:c r="N21" s="4"/>
    </x:row>
    <x:row r="22" spans="1:19" ht="36.75" customHeight="1" s="2" customFormat="1">
      <x:c r="B22" s="73"/>
      <x:c r="C22" s="75"/>
      <x:c r="D22" s="17"/>
      <x:c r="E22" s="17"/>
      <x:c r="F22" s="69"/>
      <x:c r="G22" s="205" t="s">
        <x:v>9</x:v>
      </x:c>
      <x:c r="H22" s="69"/>
      <x:c r="I22" s="306"/>
      <x:c r="J22" s="312"/>
      <x:c r="K22" s="49"/>
      <x:c r="L22" s="4"/>
      <x:c r="M22" s="4"/>
      <x:c r="N22" s="4"/>
    </x:row>
    <x:row r="23" spans="1:19" ht="36.75" customHeight="1" s="2" customFormat="1">
      <x:c r="B23" s="73"/>
      <x:c r="C23" s="75"/>
      <x:c r="D23" s="17"/>
      <x:c r="E23" s="17"/>
      <x:c r="F23" s="69"/>
      <x:c r="G23" s="205" t="s">
        <x:v>9</x:v>
      </x:c>
      <x:c r="H23" s="69"/>
      <x:c r="I23" s="306"/>
      <x:c r="J23" s="312"/>
      <x:c r="K23" s="49"/>
      <x:c r="L23" s="4"/>
      <x:c r="M23" s="4"/>
      <x:c r="N23" s="4"/>
    </x:row>
    <x:row r="24" spans="1:19" ht="36.75" customHeight="1" s="2" customFormat="1">
      <x:c r="B24" s="73"/>
      <x:c r="C24" s="75"/>
      <x:c r="D24" s="17"/>
      <x:c r="E24" s="17"/>
      <x:c r="F24" s="69"/>
      <x:c r="G24" s="205" t="s">
        <x:v>9</x:v>
      </x:c>
      <x:c r="H24" s="69"/>
      <x:c r="I24" s="306"/>
      <x:c r="J24" s="312"/>
      <x:c r="K24" s="49"/>
      <x:c r="L24" s="4"/>
      <x:c r="M24" s="4"/>
      <x:c r="N24" s="313"/>
    </x:row>
    <x:row r="25" spans="1:19" ht="36.75" customHeight="1" s="2" customFormat="1">
      <x:c r="B25" s="73"/>
      <x:c r="C25" s="215"/>
      <x:c r="D25" s="17"/>
      <x:c r="E25" s="210" t="s">
        <x:v>17</x:v>
      </x:c>
      <x:c r="F25" s="212">
        <x:f>SUM(F14:F24)</x:f>
      </x:c>
      <x:c r="G25" s="205" t="s">
        <x:v>9</x:v>
      </x:c>
      <x:c r="H25" s="44"/>
      <x:c r="I25" s="48"/>
      <x:c r="J25" s="67"/>
      <x:c r="K25" s="49"/>
      <x:c r="L25" s="4"/>
      <x:c r="M25" s="4"/>
      <x:c r="N25" s="4"/>
    </x:row>
    <x:row r="26" spans="1:19" ht="33" customHeight="1" s="2" customFormat="1">
      <x:c r="B26" s="73"/>
      <x:c r="C26" s="76"/>
      <x:c r="D26" s="81"/>
      <x:c r="E26" s="100"/>
      <x:c r="F26" s="213"/>
      <x:c r="G26" s="206"/>
      <x:c r="H26" s="82"/>
      <x:c r="I26" s="50"/>
      <x:c r="J26" s="68"/>
      <x:c r="K26" s="36"/>
      <x:c r="N26" s="4"/>
    </x:row>
    <x:row r="27" spans="1:19" ht="33" customHeight="1" s="2" customFormat="1">
      <x:c r="B27" s="83"/>
      <x:c r="C27" s="84" t="s">
        <x:v>0</x:v>
      </x:c>
      <x:c r="D27" s="85" t="s">
        <x:v>19</x:v>
      </x:c>
      <x:c r="E27" s="86"/>
      <x:c r="F27" s="87"/>
      <x:c r="G27" s="88"/>
      <x:c r="H27" s="89"/>
      <x:c r="I27" s="90"/>
      <x:c r="J27" s="90"/>
      <x:c r="K27" s="91"/>
      <x:c r="N27" s="4"/>
    </x:row>
    <x:row r="28" spans="1:19" ht="33" customHeight="1" s="2" customFormat="1">
      <x:c r="B28" s="73"/>
      <x:c r="C28" s="92"/>
      <x:c r="D28" s="93" t="s">
        <x:v>20</x:v>
      </x:c>
      <x:c r="E28" s="94"/>
      <x:c r="F28" s="95"/>
      <x:c r="G28" s="20"/>
      <x:c r="H28" s="96"/>
      <x:c r="I28" s="67"/>
      <x:c r="J28" s="67"/>
      <x:c r="K28" s="49"/>
      <x:c r="N28" s="4"/>
    </x:row>
    <x:row r="29" spans="1:19" ht="33" customHeight="1" s="2" customFormat="1">
      <x:c r="B29" s="97"/>
      <x:c r="C29" s="98"/>
      <x:c r="D29" s="104" t="s">
        <x:v>21</x:v>
      </x:c>
      <x:c r="E29" s="100"/>
      <x:c r="F29" s="99"/>
      <x:c r="G29" s="101"/>
      <x:c r="H29" s="102"/>
      <x:c r="I29" s="68"/>
      <x:c r="J29" s="68"/>
      <x:c r="K29" s="36"/>
      <x:c r="N29" s="4"/>
    </x:row>
    <x:row r="30" spans="1:19" ht="35.25" customHeight="1" s="8" customFormat="1">
      <x:c r="B30" s="56"/>
      <x:c r="C30" s="9"/>
      <x:c r="D30" s="9"/>
      <x:c r="F30" s="11" t="s">
        <x:v>18</x:v>
      </x:c>
      <x:c r="H30" s="11"/>
      <x:c r="I30" s="302">
        <x:f>SUM(I14:I24)</x:f>
      </x:c>
      <x:c r="J30" s="302"/>
      <x:c r="K30" s="31"/>
      <x:c r="M30" s="12"/>
    </x:row>
    <x:row r="31" spans="1:19" ht="33.75" customHeight="1" s="8" customFormat="1">
      <x:c r="B31" s="56"/>
      <x:c r="C31" s="9"/>
      <x:c r="F31" s="11" t="s">
        <x:v>22</x:v>
      </x:c>
      <x:c r="H31" s="11"/>
      <x:c r="I31" s="314">
        <x:f>I24</x:f>
      </x:c>
      <x:c r="J31" s="314"/>
      <x:c r="K31" s="30"/>
      <x:c r="M31" s="12"/>
    </x:row>
    <x:row r="32" spans="1:19" ht="39" customHeight="1" s="8" customFormat="1">
      <x:c r="B32" s="56"/>
      <x:c r="C32" s="9"/>
      <x:c r="D32" s="61"/>
      <x:c r="F32" s="11" t="s">
        <x:v>23</x:v>
      </x:c>
      <x:c r="H32" s="11"/>
      <x:c r="I32" s="308">
        <x:f>I30-I31</x:f>
      </x:c>
      <x:c r="J32" s="308"/>
      <x:c r="K32" s="46"/>
      <x:c r="M32" s="28"/>
      <x:c r="N32" s="9"/>
      <x:c r="O32" s="13"/>
      <x:c r="P32" s="9"/>
    </x:row>
    <x:row r="33" spans="1:19" ht="34.5" customHeight="1" s="14" customFormat="1">
      <x:c r="B33" s="77"/>
      <x:c r="C33" s="32" t="s">
        <x:v>24</x:v>
      </x:c>
      <x:c r="D33" s="29"/>
      <x:c r="E33" s="54"/>
      <x:c r="F33" s="54"/>
      <x:c r="G33" s="54"/>
      <x:c r="H33" s="55"/>
      <x:c r="I33" s="55"/>
      <x:c r="J33" s="55"/>
      <x:c r="K33" s="45"/>
    </x:row>
    <x:row r="34" spans="1:19" ht="31" customHeight="1" s="14" customFormat="1">
      <x:c r="B34" s="78"/>
      <x:c r="C34" s="1" t="s">
        <x:v>25</x:v>
      </x:c>
      <x:c r="D34" s="1"/>
      <x:c r="H34" s="8"/>
      <x:c r="I34" s="8"/>
      <x:c r="J34" s="8"/>
      <x:c r="K34" s="46"/>
      <x:c r="M34" s="10"/>
      <x:c r="N34" s="127"/>
    </x:row>
    <x:row r="35" spans="1:19" ht="78" customHeight="1" s="14" customFormat="1">
      <x:c r="B35" s="78"/>
      <x:c r="C35" s="8" t="s">
        <x:v>26</x:v>
      </x:c>
      <x:c r="D35" s="9" t="s">
        <x:v>27</x:v>
      </x:c>
      <x:c r="F35" s="11" t="s">
        <x:v>28</x:v>
      </x:c>
      <x:c r="G35" s="8"/>
      <x:c r="H35" s="9" t="s">
        <x:v>29</x:v>
      </x:c>
      <x:c r="I35" s="8"/>
      <x:c r="J35" s="8"/>
      <x:c r="K35" s="46"/>
      <x:c r="M35" s="10"/>
    </x:row>
    <x:row r="36" spans="1:19" ht="78" customHeight="1" s="14" customFormat="1">
      <x:c r="B36" s="78"/>
      <x:c r="C36" s="8" t="s">
        <x:v>30</x:v>
      </x:c>
      <x:c r="D36" s="9" t="s">
        <x:v>27</x:v>
      </x:c>
      <x:c r="F36" s="11" t="s">
        <x:v>31</x:v>
      </x:c>
      <x:c r="H36" s="9" t="s">
        <x:v>29</x:v>
      </x:c>
      <x:c r="I36" s="8"/>
      <x:c r="J36" s="8"/>
      <x:c r="K36" s="46"/>
      <x:c r="M36" s="10"/>
    </x:row>
    <x:row r="37" spans="1:19" ht="28" customHeight="1" s="8" customFormat="1">
      <x:c r="B37" s="79"/>
      <x:c r="C37" s="305"/>
      <x:c r="D37" s="305"/>
      <x:c r="E37" s="57"/>
      <x:c r="F37" s="57"/>
      <x:c r="G37" s="57"/>
      <x:c r="H37" s="58"/>
      <x:c r="I37" s="58"/>
      <x:c r="J37" s="58"/>
      <x:c r="K37" s="47"/>
      <x:c r="M37" s="15"/>
    </x:row>
  </x:sheetData>
  <x:mergeCells count="19">
    <x:mergeCell ref="F9:H9"/>
    <x:mergeCell ref="B12:C12"/>
    <x:mergeCell ref="D12:E12"/>
    <x:mergeCell ref="I12:K12"/>
    <x:mergeCell ref="I14:J14"/>
    <x:mergeCell ref="I15:J15"/>
    <x:mergeCell ref="I16:J16"/>
    <x:mergeCell ref="I17:J17"/>
    <x:mergeCell ref="I18:J18"/>
    <x:mergeCell ref="I19:J19"/>
    <x:mergeCell ref="I20:J20"/>
    <x:mergeCell ref="I21:J21"/>
    <x:mergeCell ref="I22:J22"/>
    <x:mergeCell ref="I23:J23"/>
    <x:mergeCell ref="I24:J24"/>
    <x:mergeCell ref="I30:J30"/>
    <x:mergeCell ref="I31:J31"/>
    <x:mergeCell ref="I32:J32"/>
    <x:mergeCell ref="C37:D37"/>
  </x:mergeCells>
  <x:printOptions horizontalCentered="1" verticalCentered="0" headings="0" gridLines="0"/>
  <x:pageMargins left="0" right="0.3937007874015748" top="0.3937007874015748" bottom="0.5118110236220472" header="0.31496062992125984" footer="0.2755905511811024"/>
  <x:pageSetup paperSize="9" pageOrder="downThenOver" orientation="portrait" blackAndWhite="0" draft="0" cellComments="none" errors="displayed" r:id="rId1"/>
  <x:headerFooter alignWithMargins="0"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ap:HeadingPairs>
  <ap:TitlesOfParts>
    <vt:vector baseType="lpstr" size="11">
      <vt:lpstr>Bill</vt:lpstr>
      <vt:lpstr>Bill!__A100000</vt:lpstr>
      <vt:lpstr>Bill!__A116613</vt:lpstr>
      <vt:lpstr>Bill!Print_Area</vt:lpstr>
      <vt:lpstr>Bill!Print_Titles</vt:lpstr>
      <vt:lpstr>__A100000</vt:lpstr>
      <vt:lpstr>__A116613</vt:lpstr>
      <vt:lpstr>_A100000</vt:lpstr>
      <vt:lpstr>_A116613</vt:lpstr>
      <vt:lpstr>table</vt:lpstr>
      <vt:lpstr>xxx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Store1</dc:creator>
  <lastModifiedBy>pongtat thienpromthong</lastModifiedBy>
  <lastPrinted>2024-07-22T07:16:14.0000000Z</lastPrinted>
  <dcterms:created xsi:type="dcterms:W3CDTF">2014-08-02T02:05:41.0000000Z</dcterms:created>
  <dcterms:modified xsi:type="dcterms:W3CDTF">2026-08-03T12:13:16.0000000Z</dcterms:modified>
</coreProperties>
</file>